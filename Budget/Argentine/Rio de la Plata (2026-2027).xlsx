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DS_Gabaston\DOCUMENTS\Voyages de rêve - 2026-2027\Budget\Argentine\"/>
    </mc:Choice>
  </mc:AlternateContent>
  <xr:revisionPtr revIDLastSave="0" documentId="13_ncr:1_{46A25248-B456-4BB0-8FD2-CC5FEC26CFFE}" xr6:coauthVersionLast="36" xr6:coauthVersionMax="47" xr10:uidLastSave="{00000000-0000-0000-0000-000000000000}"/>
  <bookViews>
    <workbookView xWindow="0" yWindow="465" windowWidth="28800" windowHeight="10740" xr2:uid="{00000000-000D-0000-FFFF-FFFF00000000}"/>
  </bookViews>
  <sheets>
    <sheet name="Récapitulatif" sheetId="21" r:id="rId1"/>
    <sheet name="Avec accompagnateur" sheetId="16" r:id="rId2"/>
    <sheet name="Sans accompagnateur" sheetId="17" r:id="rId3"/>
  </sheets>
  <definedNames>
    <definedName name="_xlnm.Print_Area" localSheetId="1">'Avec accompagnateur'!$A$3:$A$34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21" l="1"/>
  <c r="C11" i="21"/>
  <c r="C5" i="21"/>
  <c r="B45" i="17"/>
  <c r="E39" i="17"/>
  <c r="B39" i="17" s="1"/>
  <c r="E38" i="17"/>
  <c r="B38" i="17" s="1"/>
  <c r="D35" i="17"/>
  <c r="B35" i="17" s="1"/>
  <c r="B32" i="17"/>
  <c r="B29" i="17"/>
  <c r="B28" i="17"/>
  <c r="B26" i="17"/>
  <c r="C26" i="17" s="1"/>
  <c r="B18" i="17"/>
  <c r="C18" i="17" s="1"/>
  <c r="D17" i="17"/>
  <c r="C17" i="17"/>
  <c r="D16" i="17"/>
  <c r="C16" i="17"/>
  <c r="B16" i="16"/>
  <c r="D16" i="16"/>
  <c r="C16" i="16"/>
  <c r="B10" i="17"/>
  <c r="D9" i="17"/>
  <c r="B9" i="17" s="1"/>
  <c r="B8" i="17"/>
  <c r="B7" i="17"/>
  <c r="B7" i="16"/>
  <c r="B43" i="17"/>
  <c r="B42" i="17"/>
  <c r="F41" i="17"/>
  <c r="B33" i="17"/>
  <c r="C31" i="17"/>
  <c r="B31" i="17" s="1"/>
  <c r="B30" i="17"/>
  <c r="B22" i="17"/>
  <c r="E21" i="17"/>
  <c r="B21" i="17"/>
  <c r="B13" i="17"/>
  <c r="D12" i="17"/>
  <c r="C12" i="17"/>
  <c r="D11" i="17"/>
  <c r="E8" i="17"/>
  <c r="B16" i="17" l="1"/>
  <c r="E41" i="17"/>
  <c r="B17" i="17"/>
  <c r="B15" i="17" s="1"/>
  <c r="C41" i="17"/>
  <c r="C42" i="17" s="1"/>
  <c r="D41" i="17"/>
  <c r="D42" i="17" s="1"/>
  <c r="B25" i="17"/>
  <c r="B43" i="16"/>
  <c r="E38" i="16"/>
  <c r="D35" i="16"/>
  <c r="C32" i="16"/>
  <c r="C31" i="16"/>
  <c r="B30" i="16"/>
  <c r="B18" i="16"/>
  <c r="D17" i="16"/>
  <c r="C17" i="16"/>
  <c r="B10" i="16"/>
  <c r="D9" i="16"/>
  <c r="B8" i="16"/>
  <c r="B22" i="16" l="1"/>
  <c r="B21" i="16"/>
  <c r="E21" i="16"/>
  <c r="J23" i="16" l="1"/>
  <c r="B32" i="16" l="1"/>
  <c r="F41" i="16"/>
  <c r="G18" i="16" l="1"/>
  <c r="G17" i="16"/>
  <c r="G16" i="16"/>
  <c r="C18" i="16"/>
  <c r="B35" i="16"/>
  <c r="E41" i="16" l="1"/>
  <c r="B33" i="16"/>
  <c r="B38" i="16"/>
  <c r="E39" i="16"/>
  <c r="B39" i="16"/>
  <c r="D12" i="16"/>
  <c r="C12" i="16"/>
  <c r="D11" i="16"/>
  <c r="B9" i="16"/>
  <c r="E8" i="16"/>
  <c r="H49" i="16"/>
  <c r="B45" i="16" s="1"/>
  <c r="B26" i="16" l="1"/>
  <c r="B17" i="16" l="1"/>
  <c r="B31" i="16"/>
  <c r="B13" i="16"/>
  <c r="J10" i="16" l="1"/>
  <c r="B49" i="16" l="1"/>
  <c r="D41" i="16" l="1"/>
  <c r="D42" i="16" s="1"/>
  <c r="B15" i="16"/>
  <c r="B29" i="16"/>
  <c r="B28" i="16"/>
  <c r="B42" i="16"/>
  <c r="B25" i="16" l="1"/>
  <c r="C26" i="16"/>
  <c r="C41" i="16" s="1"/>
  <c r="C42" i="16" s="1"/>
  <c r="B6" i="17"/>
  <c r="B46" i="17" s="1"/>
  <c r="B47" i="17" s="1"/>
  <c r="C6" i="21" s="1"/>
  <c r="B6" i="16"/>
  <c r="C49" i="16" s="1"/>
  <c r="B46" i="16" s="1"/>
</calcChain>
</file>

<file path=xl/sharedStrings.xml><?xml version="1.0" encoding="utf-8"?>
<sst xmlns="http://schemas.openxmlformats.org/spreadsheetml/2006/main" count="126" uniqueCount="75">
  <si>
    <t>Frais Accompagnateur</t>
  </si>
  <si>
    <t>Taux de change</t>
  </si>
  <si>
    <t>ARS</t>
  </si>
  <si>
    <t>UYU</t>
  </si>
  <si>
    <t>Suivi via One Drive</t>
  </si>
  <si>
    <t>Parking IPY + autoroute A/R</t>
  </si>
  <si>
    <t>Transferts + Location Véhicule + Carburant + Péages + Parking</t>
  </si>
  <si>
    <t xml:space="preserve">Transfert aéroport Ezeiza A/R </t>
  </si>
  <si>
    <t>Payé</t>
  </si>
  <si>
    <r>
      <t xml:space="preserve">Location Thrifty voiture 9 places </t>
    </r>
    <r>
      <rPr>
        <b/>
        <i/>
        <sz val="10"/>
        <rFont val="Arial"/>
        <family val="2"/>
      </rPr>
      <t>(du 15-11 au 17-11-25)</t>
    </r>
    <r>
      <rPr>
        <b/>
        <sz val="10"/>
        <rFont val="Arial"/>
        <family val="2"/>
      </rPr>
      <t xml:space="preserve"> en $US</t>
    </r>
  </si>
  <si>
    <t>15-17/11/25</t>
  </si>
  <si>
    <t>CB BoursoBk</t>
  </si>
  <si>
    <t>Carburant pour 250 kms (80 $/litre et 8 litres/100 kms)</t>
  </si>
  <si>
    <t>Buque Francisco BsAs a Montevideo (2h30) + Buque Rápido Colonia a BsAs</t>
  </si>
  <si>
    <t>13-18/11/2025</t>
  </si>
  <si>
    <t>Soldé</t>
  </si>
  <si>
    <t>Péage + Parking</t>
  </si>
  <si>
    <t>UBER - Taxis</t>
  </si>
  <si>
    <t>Subte et Bus de ville</t>
  </si>
  <si>
    <t>Repas</t>
  </si>
  <si>
    <t>14 petits-déjeuners à 6 €</t>
  </si>
  <si>
    <t>14 déjeuners à 15 €</t>
  </si>
  <si>
    <t>Logement</t>
  </si>
  <si>
    <t xml:space="preserve">BsAs Booking Hola San Telmo et  Great apartment du 4 au 13/11 et du 18 au 19/11 (9 + 1 nuits) </t>
  </si>
  <si>
    <t xml:space="preserve">Montevideo Booking Hotel Tres Cruces : du 13 au 16/11 (3 nuits) </t>
  </si>
  <si>
    <t xml:space="preserve">Colonia del Sacramento Booking Viajero Posada : du 16 au 18/11 (2 nuits) </t>
  </si>
  <si>
    <t>Visites</t>
  </si>
  <si>
    <t>Café Tortoni</t>
  </si>
  <si>
    <t>Musée Carlos Gardel (3 euros)</t>
  </si>
  <si>
    <t>El Zanjon</t>
  </si>
  <si>
    <t>Palacio Taranco (gratuit)</t>
  </si>
  <si>
    <t>Musée du Tango Montevideo + Palacio Salvo</t>
  </si>
  <si>
    <t>Calbildo (gratuit)</t>
  </si>
  <si>
    <t>Fortaleza - Cerro de Montevideo (gratuit &gt; 65 ans)</t>
  </si>
  <si>
    <t>Divers</t>
  </si>
  <si>
    <t>Commissions bancaires sur CB</t>
  </si>
  <si>
    <t>Frais accompagnateur</t>
  </si>
  <si>
    <t>Gain net</t>
  </si>
  <si>
    <t>Prix de revient</t>
  </si>
  <si>
    <t>Train Tigre AR</t>
  </si>
  <si>
    <t>Entrées Academia del Tango (5 eur)</t>
  </si>
  <si>
    <t>Cours 6 h de tango à Montevideo</t>
  </si>
  <si>
    <t>A payer sur place par CB (-12 %)</t>
  </si>
  <si>
    <t>Bodega Moizo (45 $US / pers. + repas guide gratuit)</t>
  </si>
  <si>
    <t>Bodega Los Pinos (40 $US / pers.)</t>
  </si>
  <si>
    <t>Aerel Hotel Aéroport Blagnac</t>
  </si>
  <si>
    <t xml:space="preserve">A payer sur place
en espèces
</t>
  </si>
  <si>
    <t>Acompte 30 % de 86 $US - Solde 201 $US</t>
  </si>
  <si>
    <t>€ / ARS</t>
  </si>
  <si>
    <t>€ / URU</t>
  </si>
  <si>
    <t>€ / $US</t>
  </si>
  <si>
    <t>Nbre Voyageurs</t>
  </si>
  <si>
    <t>Suivi dépenses Repas</t>
  </si>
  <si>
    <t>USD</t>
  </si>
  <si>
    <t>EUR</t>
  </si>
  <si>
    <t>5 Pré-milongas + Cours 2 h de tango à BsAs (50 € /h pour le groupe)</t>
  </si>
  <si>
    <t>16-18/11/2025</t>
  </si>
  <si>
    <t>Vol Toulouse - Buenos Aires Aller</t>
  </si>
  <si>
    <r>
      <t>Budget Rio de la Plata</t>
    </r>
    <r>
      <rPr>
        <b/>
        <sz val="12"/>
        <rFont val="Arial"/>
        <family val="2"/>
      </rPr>
      <t xml:space="preserve"> </t>
    </r>
    <r>
      <rPr>
        <i/>
        <sz val="12"/>
        <rFont val="Arial"/>
        <family val="2"/>
      </rPr>
      <t>(2026-2027)</t>
    </r>
  </si>
  <si>
    <t>2 dîners à 40 €</t>
  </si>
  <si>
    <t>Environ !</t>
  </si>
  <si>
    <t>Soirée Tango Show Abasto</t>
  </si>
  <si>
    <t>5 + 1 accomp.</t>
  </si>
  <si>
    <t>Travel Planner</t>
  </si>
  <si>
    <r>
      <t xml:space="preserve">Prix par personne </t>
    </r>
    <r>
      <rPr>
        <b/>
        <i/>
        <sz val="16"/>
        <color rgb="FFFF0000"/>
        <rFont val="Arial"/>
        <family val="2"/>
      </rPr>
      <t>(</t>
    </r>
    <r>
      <rPr>
        <i/>
        <sz val="16"/>
        <color rgb="FFFF0000"/>
        <rFont val="Arial"/>
        <family val="2"/>
      </rPr>
      <t xml:space="preserve">base 5) </t>
    </r>
  </si>
  <si>
    <r>
      <t xml:space="preserve">Prix par personne </t>
    </r>
    <r>
      <rPr>
        <b/>
        <i/>
        <sz val="16"/>
        <color rgb="FFFF0000"/>
        <rFont val="Arial"/>
        <family val="2"/>
      </rPr>
      <t xml:space="preserve">(base 2) </t>
    </r>
  </si>
  <si>
    <t>ARGENTINE</t>
  </si>
  <si>
    <r>
      <rPr>
        <b/>
        <i/>
        <sz val="14"/>
        <rFont val="Arial"/>
        <family val="2"/>
      </rPr>
      <t>Rio de la Plata</t>
    </r>
    <r>
      <rPr>
        <b/>
        <i/>
        <sz val="12"/>
        <rFont val="Arial"/>
        <family val="2"/>
      </rPr>
      <t xml:space="preserve"> </t>
    </r>
    <r>
      <rPr>
        <i/>
        <sz val="12"/>
        <rFont val="Arial"/>
        <family val="2"/>
      </rPr>
      <t>(2026-2027)</t>
    </r>
  </si>
  <si>
    <t>Pays</t>
  </si>
  <si>
    <t>Destination / Thème</t>
  </si>
  <si>
    <t>Tarif par personne</t>
  </si>
  <si>
    <r>
      <t xml:space="preserve">AVEC accompagnement </t>
    </r>
    <r>
      <rPr>
        <i/>
        <sz val="12"/>
        <rFont val="Arial"/>
        <family val="2"/>
      </rPr>
      <t xml:space="preserve">(base 5) </t>
    </r>
  </si>
  <si>
    <r>
      <t xml:space="preserve">SANS accompagnement </t>
    </r>
    <r>
      <rPr>
        <i/>
        <sz val="12"/>
        <rFont val="Arial"/>
        <family val="2"/>
      </rPr>
      <t xml:space="preserve">(base 2) </t>
    </r>
  </si>
  <si>
    <t>CUBA</t>
  </si>
  <si>
    <r>
      <t>Festival de Tango de La Havane</t>
    </r>
    <r>
      <rPr>
        <b/>
        <i/>
        <sz val="12"/>
        <rFont val="Arial"/>
        <family val="2"/>
      </rPr>
      <t xml:space="preserve"> </t>
    </r>
    <r>
      <rPr>
        <i/>
        <sz val="12"/>
        <rFont val="Arial"/>
        <family val="2"/>
      </rPr>
      <t>(2026-2027)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</si>
</sst>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7" formatCode="#,##0.00\ &quot;€&quot;;\-#,##0.00\ &quot;€&quot;"/>
    <numFmt numFmtId="164" formatCode="#,##0.00\ &quot;€&quot;"/>
    <numFmt numFmtId="165" formatCode="[$$-2409]#,##0.00"/>
    <numFmt numFmtId="166" formatCode="[$$-240A]\ #,##0"/>
    <numFmt numFmtId="167" formatCode="#,##0\ &quot;€&quot;"/>
    <numFmt numFmtId="168" formatCode="#,##0\ [$USD]"/>
    <numFmt numFmtId="169" formatCode="#,##0\ [$UYU]"/>
    <numFmt numFmtId="170" formatCode="#,##0\ [$ARS]"/>
    <numFmt numFmtId="171" formatCode="#,##0\ [$EUR]"/>
    <numFmt numFmtId="172" formatCode="#,##0\ _€"/>
  </numFmts>
  <fonts count="64">
    <font>
      <sz val="10"/>
      <name val="Arial"/>
      <charset val="134"/>
    </font>
    <font>
      <sz val="11"/>
      <name val="Arial"/>
      <charset val="134"/>
    </font>
    <font>
      <sz val="10"/>
      <color rgb="FFFF0000"/>
      <name val="Arial"/>
      <charset val="134"/>
    </font>
    <font>
      <sz val="11"/>
      <color rgb="FFFF0000"/>
      <name val="Arial"/>
      <charset val="134"/>
    </font>
    <font>
      <b/>
      <sz val="10"/>
      <name val="Arial"/>
      <charset val="134"/>
    </font>
    <font>
      <b/>
      <i/>
      <sz val="9"/>
      <name val="Arial"/>
      <charset val="134"/>
    </font>
    <font>
      <b/>
      <sz val="11"/>
      <name val="Arial"/>
      <charset val="134"/>
    </font>
    <font>
      <b/>
      <sz val="11"/>
      <color rgb="FF002060"/>
      <name val="Arial"/>
      <charset val="134"/>
    </font>
    <font>
      <sz val="10"/>
      <color theme="1"/>
      <name val="Arial"/>
      <charset val="134"/>
    </font>
    <font>
      <sz val="10"/>
      <color indexed="12"/>
      <name val="Arial"/>
      <charset val="134"/>
    </font>
    <font>
      <sz val="10"/>
      <color theme="3" tint="0.39994506668294322"/>
      <name val="Arial"/>
      <charset val="134"/>
    </font>
    <font>
      <sz val="10"/>
      <color rgb="FF008000"/>
      <name val="Arial"/>
      <charset val="134"/>
    </font>
    <font>
      <sz val="10"/>
      <color rgb="FF0000FF"/>
      <name val="Arial"/>
      <charset val="134"/>
    </font>
    <font>
      <u/>
      <sz val="10"/>
      <color theme="10"/>
      <name val="Arial"/>
      <charset val="134"/>
    </font>
    <font>
      <b/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  <font>
      <b/>
      <sz val="10"/>
      <color indexed="10"/>
      <name val="Arial"/>
      <family val="2"/>
    </font>
    <font>
      <i/>
      <sz val="10"/>
      <color indexed="10"/>
      <name val="Arial"/>
      <family val="2"/>
    </font>
    <font>
      <b/>
      <i/>
      <sz val="10"/>
      <color indexed="10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b/>
      <i/>
      <sz val="11"/>
      <color rgb="FF101ADE"/>
      <name val="Arial"/>
      <family val="2"/>
    </font>
    <font>
      <b/>
      <sz val="11"/>
      <name val="Arial"/>
      <family val="2"/>
    </font>
    <font>
      <b/>
      <i/>
      <sz val="12"/>
      <color rgb="FF36B645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sz val="11"/>
      <color rgb="FF3F3F76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006100"/>
      <name val="Calibri"/>
      <family val="2"/>
    </font>
    <font>
      <b/>
      <sz val="11"/>
      <color rgb="FF3F3F3F"/>
      <name val="Calibri"/>
      <family val="2"/>
    </font>
    <font>
      <b/>
      <sz val="18"/>
      <color rgb="FF1F4A7E"/>
      <name val="Cambria"/>
      <family val="1"/>
    </font>
    <font>
      <b/>
      <sz val="15"/>
      <color rgb="FF1F4A7E"/>
      <name val="Calibri"/>
      <family val="2"/>
    </font>
    <font>
      <b/>
      <sz val="13"/>
      <color rgb="FF1F4A7E"/>
      <name val="Calibri"/>
      <family val="2"/>
    </font>
    <font>
      <b/>
      <sz val="11"/>
      <color rgb="FF1F4A7E"/>
      <name val="Calibri"/>
      <family val="2"/>
    </font>
    <font>
      <sz val="9"/>
      <name val="Arial"/>
      <family val="2"/>
    </font>
    <font>
      <b/>
      <i/>
      <sz val="8"/>
      <color rgb="FF101ADE"/>
      <name val="Arial"/>
      <family val="2"/>
    </font>
    <font>
      <b/>
      <i/>
      <sz val="11"/>
      <name val="Arial"/>
      <family val="2"/>
    </font>
    <font>
      <b/>
      <sz val="11"/>
      <color theme="3"/>
      <name val="Arial"/>
      <family val="2"/>
    </font>
    <font>
      <b/>
      <sz val="11"/>
      <color rgb="FFFF000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b/>
      <i/>
      <sz val="20"/>
      <color indexed="10"/>
      <name val="Arial"/>
      <family val="2"/>
    </font>
    <font>
      <b/>
      <i/>
      <sz val="16"/>
      <color rgb="FFFF0000"/>
      <name val="Arial"/>
      <family val="2"/>
    </font>
    <font>
      <i/>
      <sz val="16"/>
      <color rgb="FFFF000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b/>
      <sz val="14"/>
      <color rgb="FF36B645"/>
      <name val="Arial"/>
      <family val="2"/>
    </font>
    <font>
      <b/>
      <i/>
      <sz val="14"/>
      <name val="Arial"/>
      <family val="2"/>
    </font>
    <font>
      <b/>
      <i/>
      <sz val="12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5181BD"/>
        <bgColor indexed="64"/>
      </patternFill>
    </fill>
    <fill>
      <patternFill patternType="solid">
        <fgColor rgb="FFC0514D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7E62A1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rgb="FFF7954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6B64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6F8FE"/>
        <bgColor indexed="64"/>
      </patternFill>
    </fill>
    <fill>
      <patternFill patternType="solid">
        <fgColor theme="9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</borders>
  <cellStyleXfs count="44">
    <xf numFmtId="0" fontId="0" fillId="0" borderId="0"/>
    <xf numFmtId="0" fontId="13" fillId="0" borderId="0" applyNumberFormat="0" applyFill="0" applyBorder="0" applyAlignment="0" applyProtection="0"/>
    <xf numFmtId="0" fontId="16" fillId="0" borderId="0"/>
    <xf numFmtId="0" fontId="34" fillId="11" borderId="0" applyNumberFormat="0" applyBorder="0" applyAlignment="0" applyProtection="0"/>
    <xf numFmtId="0" fontId="34" fillId="9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3" borderId="0" applyNumberFormat="0" applyBorder="0" applyAlignment="0" applyProtection="0"/>
    <xf numFmtId="0" fontId="29" fillId="0" borderId="0" applyNumberFormat="0" applyFill="0" applyBorder="0" applyAlignment="0" applyProtection="0"/>
    <xf numFmtId="0" fontId="37" fillId="8" borderId="12" applyNumberFormat="0" applyAlignment="0" applyProtection="0"/>
    <xf numFmtId="0" fontId="38" fillId="0" borderId="14" applyNumberFormat="0" applyFill="0" applyAlignment="0" applyProtection="0"/>
    <xf numFmtId="0" fontId="39" fillId="34" borderId="12" applyNumberFormat="0" applyAlignment="0" applyProtection="0"/>
    <xf numFmtId="0" fontId="40" fillId="35" borderId="0" applyNumberFormat="0" applyBorder="0" applyAlignment="0" applyProtection="0"/>
    <xf numFmtId="0" fontId="41" fillId="36" borderId="0" applyNumberFormat="0" applyBorder="0" applyAlignment="0" applyProtection="0"/>
    <xf numFmtId="0" fontId="16" fillId="37" borderId="16" applyNumberFormat="0" applyFont="0" applyAlignment="0" applyProtection="0"/>
    <xf numFmtId="0" fontId="42" fillId="38" borderId="0" applyNumberFormat="0" applyBorder="0" applyAlignment="0" applyProtection="0"/>
    <xf numFmtId="0" fontId="43" fillId="8" borderId="13" applyNumberFormat="0" applyAlignment="0" applyProtection="0"/>
    <xf numFmtId="0" fontId="30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17" applyNumberFormat="0" applyFill="0" applyAlignment="0" applyProtection="0"/>
    <xf numFmtId="0" fontId="46" fillId="0" borderId="18" applyNumberFormat="0" applyFill="0" applyAlignment="0" applyProtection="0"/>
    <xf numFmtId="0" fontId="47" fillId="0" borderId="19" applyNumberFormat="0" applyFill="0" applyAlignment="0" applyProtection="0"/>
    <xf numFmtId="0" fontId="47" fillId="0" borderId="0" applyNumberFormat="0" applyFill="0" applyBorder="0" applyAlignment="0" applyProtection="0"/>
    <xf numFmtId="0" fontId="32" fillId="0" borderId="20" applyNumberFormat="0" applyFill="0" applyAlignment="0" applyProtection="0"/>
    <xf numFmtId="0" fontId="31" fillId="39" borderId="15" applyNumberFormat="0" applyAlignment="0" applyProtection="0"/>
  </cellStyleXfs>
  <cellXfs count="129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3" xfId="0" applyFont="1" applyBorder="1" applyAlignment="1">
      <alignment horizontal="right" vertical="center" wrapText="1"/>
    </xf>
    <xf numFmtId="0" fontId="14" fillId="0" borderId="0" xfId="0" applyFont="1" applyBorder="1" applyAlignment="1">
      <alignment horizontal="right" vertical="center" wrapText="1"/>
    </xf>
    <xf numFmtId="0" fontId="25" fillId="4" borderId="1" xfId="0" applyFont="1" applyFill="1" applyBorder="1" applyAlignment="1">
      <alignment horizontal="left" vertical="center"/>
    </xf>
    <xf numFmtId="0" fontId="26" fillId="9" borderId="4" xfId="0" applyFont="1" applyFill="1" applyBorder="1" applyAlignment="1">
      <alignment horizontal="right" vertical="center"/>
    </xf>
    <xf numFmtId="0" fontId="14" fillId="0" borderId="3" xfId="0" applyFont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/>
    </xf>
    <xf numFmtId="165" fontId="0" fillId="7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right" vertical="center"/>
    </xf>
    <xf numFmtId="0" fontId="20" fillId="9" borderId="11" xfId="0" applyFont="1" applyFill="1" applyBorder="1" applyAlignment="1">
      <alignment horizontal="right" vertical="center"/>
    </xf>
    <xf numFmtId="0" fontId="14" fillId="42" borderId="26" xfId="0" applyFont="1" applyFill="1" applyBorder="1" applyAlignment="1">
      <alignment horizontal="center" vertical="center"/>
    </xf>
    <xf numFmtId="0" fontId="15" fillId="10" borderId="26" xfId="0" applyFont="1" applyFill="1" applyBorder="1" applyAlignment="1">
      <alignment horizontal="center" vertical="center" wrapText="1"/>
    </xf>
    <xf numFmtId="164" fontId="7" fillId="4" borderId="21" xfId="0" applyNumberFormat="1" applyFont="1" applyFill="1" applyBorder="1" applyAlignment="1">
      <alignment vertical="center"/>
    </xf>
    <xf numFmtId="164" fontId="27" fillId="5" borderId="21" xfId="0" applyNumberFormat="1" applyFont="1" applyFill="1" applyBorder="1" applyAlignment="1">
      <alignment horizontal="right" vertical="center"/>
    </xf>
    <xf numFmtId="0" fontId="15" fillId="10" borderId="23" xfId="0" applyFont="1" applyFill="1" applyBorder="1" applyAlignment="1">
      <alignment horizontal="center" vertical="center" wrapText="1"/>
    </xf>
    <xf numFmtId="0" fontId="49" fillId="9" borderId="22" xfId="0" applyFont="1" applyFill="1" applyBorder="1" applyAlignment="1">
      <alignment horizontal="center" vertical="center"/>
    </xf>
    <xf numFmtId="2" fontId="16" fillId="9" borderId="35" xfId="0" applyNumberFormat="1" applyFont="1" applyFill="1" applyBorder="1" applyAlignment="1">
      <alignment horizontal="center" vertical="center"/>
    </xf>
    <xf numFmtId="2" fontId="50" fillId="40" borderId="38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vertical="center"/>
    </xf>
    <xf numFmtId="167" fontId="52" fillId="45" borderId="37" xfId="0" applyNumberFormat="1" applyFont="1" applyFill="1" applyBorder="1" applyAlignment="1">
      <alignment horizontal="center" vertical="center"/>
    </xf>
    <xf numFmtId="167" fontId="52" fillId="10" borderId="40" xfId="0" applyNumberFormat="1" applyFont="1" applyFill="1" applyBorder="1" applyAlignment="1">
      <alignment horizontal="center" vertical="center"/>
    </xf>
    <xf numFmtId="1" fontId="50" fillId="9" borderId="36" xfId="0" applyNumberFormat="1" applyFont="1" applyFill="1" applyBorder="1" applyAlignment="1">
      <alignment horizontal="center" vertical="center"/>
    </xf>
    <xf numFmtId="0" fontId="53" fillId="0" borderId="3" xfId="0" applyFont="1" applyBorder="1" applyAlignment="1">
      <alignment horizontal="right" vertical="center" wrapText="1"/>
    </xf>
    <xf numFmtId="16" fontId="19" fillId="0" borderId="23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1" borderId="0" xfId="0" applyFill="1" applyAlignment="1">
      <alignment horizontal="center" vertical="center"/>
    </xf>
    <xf numFmtId="3" fontId="16" fillId="45" borderId="33" xfId="0" applyNumberFormat="1" applyFont="1" applyFill="1" applyBorder="1" applyAlignment="1">
      <alignment horizontal="center" vertical="center"/>
    </xf>
    <xf numFmtId="3" fontId="25" fillId="45" borderId="34" xfId="0" applyNumberFormat="1" applyFont="1" applyFill="1" applyBorder="1" applyAlignment="1">
      <alignment horizontal="center" vertical="center"/>
    </xf>
    <xf numFmtId="3" fontId="16" fillId="40" borderId="37" xfId="0" applyNumberFormat="1" applyFont="1" applyFill="1" applyBorder="1" applyAlignment="1">
      <alignment horizontal="center" vertical="center"/>
    </xf>
    <xf numFmtId="164" fontId="8" fillId="5" borderId="21" xfId="0" applyNumberFormat="1" applyFont="1" applyFill="1" applyBorder="1" applyAlignment="1">
      <alignment horizontal="right"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16" fillId="5" borderId="21" xfId="0" applyNumberFormat="1" applyFont="1" applyFill="1" applyBorder="1" applyAlignment="1">
      <alignment horizontal="right" vertical="center"/>
    </xf>
    <xf numFmtId="3" fontId="14" fillId="40" borderId="21" xfId="0" applyNumberFormat="1" applyFont="1" applyFill="1" applyBorder="1" applyAlignment="1">
      <alignment horizontal="right" vertical="center"/>
    </xf>
    <xf numFmtId="164" fontId="14" fillId="5" borderId="26" xfId="0" applyNumberFormat="1" applyFont="1" applyFill="1" applyBorder="1" applyAlignment="1">
      <alignment horizontal="right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28" fillId="5" borderId="21" xfId="0" applyNumberFormat="1" applyFont="1" applyFill="1" applyBorder="1" applyAlignment="1">
      <alignment horizontal="right" vertical="center"/>
    </xf>
    <xf numFmtId="3" fontId="14" fillId="10" borderId="21" xfId="0" applyNumberFormat="1" applyFont="1" applyFill="1" applyBorder="1" applyAlignment="1">
      <alignment horizontal="right" vertical="center"/>
    </xf>
    <xf numFmtId="3" fontId="14" fillId="45" borderId="21" xfId="0" applyNumberFormat="1" applyFont="1" applyFill="1" applyBorder="1" applyAlignment="1">
      <alignment horizontal="right" vertical="center"/>
    </xf>
    <xf numFmtId="164" fontId="10" fillId="5" borderId="21" xfId="0" applyNumberFormat="1" applyFont="1" applyFill="1" applyBorder="1" applyAlignment="1">
      <alignment horizontal="right" vertical="center"/>
    </xf>
    <xf numFmtId="165" fontId="0" fillId="7" borderId="2" xfId="0" applyNumberFormat="1" applyFont="1" applyFill="1" applyBorder="1" applyAlignment="1">
      <alignment vertical="center"/>
    </xf>
    <xf numFmtId="0" fontId="14" fillId="0" borderId="1" xfId="0" applyFont="1" applyFill="1" applyBorder="1" applyAlignment="1">
      <alignment horizontal="right" vertical="center"/>
    </xf>
    <xf numFmtId="164" fontId="0" fillId="5" borderId="21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164" fontId="12" fillId="5" borderId="2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9" fillId="0" borderId="1" xfId="0" applyFont="1" applyFill="1" applyBorder="1" applyAlignment="1">
      <alignment horizontal="right" vertical="center" wrapText="1"/>
    </xf>
    <xf numFmtId="164" fontId="0" fillId="5" borderId="1" xfId="0" applyNumberFormat="1" applyFont="1" applyFill="1" applyBorder="1" applyAlignment="1">
      <alignment horizontal="right" vertical="center"/>
    </xf>
    <xf numFmtId="170" fontId="51" fillId="45" borderId="28" xfId="0" applyNumberFormat="1" applyFont="1" applyFill="1" applyBorder="1" applyAlignment="1">
      <alignment horizontal="center" vertical="center"/>
    </xf>
    <xf numFmtId="169" fontId="51" fillId="10" borderId="30" xfId="0" applyNumberFormat="1" applyFont="1" applyFill="1" applyBorder="1" applyAlignment="1">
      <alignment horizontal="center" vertical="center"/>
    </xf>
    <xf numFmtId="168" fontId="51" fillId="40" borderId="29" xfId="0" applyNumberFormat="1" applyFont="1" applyFill="1" applyBorder="1" applyAlignment="1">
      <alignment horizontal="center" vertical="center"/>
    </xf>
    <xf numFmtId="171" fontId="51" fillId="46" borderId="30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7" fontId="16" fillId="6" borderId="26" xfId="0" applyNumberFormat="1" applyFont="1" applyFill="1" applyBorder="1" applyAlignment="1">
      <alignment vertical="center"/>
    </xf>
    <xf numFmtId="164" fontId="11" fillId="5" borderId="21" xfId="0" applyNumberFormat="1" applyFont="1" applyFill="1" applyBorder="1" applyAlignment="1">
      <alignment horizontal="right" vertical="center"/>
    </xf>
    <xf numFmtId="0" fontId="0" fillId="8" borderId="0" xfId="0" applyFill="1" applyAlignment="1">
      <alignment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4" fontId="19" fillId="3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7" fontId="0" fillId="0" borderId="0" xfId="0" applyNumberFormat="1" applyAlignment="1">
      <alignment vertical="center"/>
    </xf>
    <xf numFmtId="0" fontId="6" fillId="4" borderId="37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center" vertical="center"/>
    </xf>
    <xf numFmtId="7" fontId="16" fillId="6" borderId="27" xfId="0" applyNumberFormat="1" applyFont="1" applyFill="1" applyBorder="1" applyAlignment="1">
      <alignment vertical="center"/>
    </xf>
    <xf numFmtId="7" fontId="35" fillId="6" borderId="11" xfId="0" applyNumberFormat="1" applyFont="1" applyFill="1" applyBorder="1" applyAlignment="1">
      <alignment horizontal="center" vertical="center"/>
    </xf>
    <xf numFmtId="172" fontId="6" fillId="4" borderId="0" xfId="0" applyNumberFormat="1" applyFont="1" applyFill="1" applyBorder="1" applyAlignment="1">
      <alignment horizontal="center" vertical="center"/>
    </xf>
    <xf numFmtId="172" fontId="6" fillId="4" borderId="2" xfId="0" applyNumberFormat="1" applyFont="1" applyFill="1" applyBorder="1" applyAlignment="1">
      <alignment horizontal="center" vertical="center"/>
    </xf>
    <xf numFmtId="172" fontId="14" fillId="49" borderId="2" xfId="0" applyNumberFormat="1" applyFont="1" applyFill="1" applyBorder="1" applyAlignment="1">
      <alignment horizontal="right" vertical="center"/>
    </xf>
    <xf numFmtId="0" fontId="54" fillId="0" borderId="1" xfId="0" applyFont="1" applyFill="1" applyBorder="1" applyAlignment="1">
      <alignment horizontal="right" vertical="center"/>
    </xf>
    <xf numFmtId="0" fontId="52" fillId="4" borderId="1" xfId="0" applyFont="1" applyFill="1" applyBorder="1" applyAlignment="1">
      <alignment horizontal="left" vertical="center"/>
    </xf>
    <xf numFmtId="0" fontId="54" fillId="0" borderId="0" xfId="0" applyFont="1" applyAlignment="1">
      <alignment horizontal="right" vertical="center"/>
    </xf>
    <xf numFmtId="0" fontId="54" fillId="0" borderId="3" xfId="0" applyFont="1" applyBorder="1" applyAlignment="1">
      <alignment horizontal="right" vertical="center" wrapText="1"/>
    </xf>
    <xf numFmtId="16" fontId="19" fillId="43" borderId="23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right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43" borderId="23" xfId="0" applyFont="1" applyFill="1" applyBorder="1" applyAlignment="1">
      <alignment horizontal="center" vertical="center"/>
    </xf>
    <xf numFmtId="0" fontId="14" fillId="43" borderId="25" xfId="0" applyFont="1" applyFill="1" applyBorder="1" applyAlignment="1">
      <alignment horizontal="center" vertical="center"/>
    </xf>
    <xf numFmtId="0" fontId="14" fillId="44" borderId="39" xfId="0" applyFont="1" applyFill="1" applyBorder="1" applyAlignment="1">
      <alignment horizontal="center" vertical="center"/>
    </xf>
    <xf numFmtId="0" fontId="14" fillId="44" borderId="22" xfId="0" applyFont="1" applyFill="1" applyBorder="1" applyAlignment="1">
      <alignment horizontal="center" vertical="center"/>
    </xf>
    <xf numFmtId="0" fontId="14" fillId="44" borderId="26" xfId="0" applyFont="1" applyFill="1" applyBorder="1" applyAlignment="1">
      <alignment horizontal="center" vertical="center"/>
    </xf>
    <xf numFmtId="164" fontId="14" fillId="48" borderId="26" xfId="0" applyNumberFormat="1" applyFont="1" applyFill="1" applyBorder="1" applyAlignment="1">
      <alignment horizontal="center" vertical="center"/>
    </xf>
    <xf numFmtId="0" fontId="14" fillId="47" borderId="26" xfId="0" applyFont="1" applyFill="1" applyBorder="1" applyAlignment="1">
      <alignment horizontal="center" vertical="center"/>
    </xf>
    <xf numFmtId="2" fontId="18" fillId="9" borderId="31" xfId="0" applyNumberFormat="1" applyFont="1" applyFill="1" applyBorder="1" applyAlignment="1">
      <alignment horizontal="center" vertical="center"/>
    </xf>
    <xf numFmtId="2" fontId="18" fillId="9" borderId="32" xfId="0" applyNumberFormat="1" applyFont="1" applyFill="1" applyBorder="1" applyAlignment="1">
      <alignment horizontal="center" vertical="center"/>
    </xf>
    <xf numFmtId="0" fontId="24" fillId="9" borderId="23" xfId="0" applyFont="1" applyFill="1" applyBorder="1" applyAlignment="1">
      <alignment horizontal="center" vertical="center"/>
    </xf>
    <xf numFmtId="0" fontId="24" fillId="9" borderId="24" xfId="0" applyFont="1" applyFill="1" applyBorder="1" applyAlignment="1">
      <alignment horizontal="center" vertical="center"/>
    </xf>
    <xf numFmtId="0" fontId="48" fillId="0" borderId="26" xfId="0" applyFont="1" applyFill="1" applyBorder="1" applyAlignment="1">
      <alignment horizontal="center" vertical="center" wrapText="1"/>
    </xf>
    <xf numFmtId="166" fontId="36" fillId="9" borderId="23" xfId="0" applyNumberFormat="1" applyFont="1" applyFill="1" applyBorder="1" applyAlignment="1">
      <alignment horizontal="center" vertical="center" wrapText="1"/>
    </xf>
    <xf numFmtId="166" fontId="36" fillId="9" borderId="24" xfId="0" applyNumberFormat="1" applyFont="1" applyFill="1" applyBorder="1" applyAlignment="1">
      <alignment horizontal="center" vertical="center" wrapText="1"/>
    </xf>
    <xf numFmtId="164" fontId="26" fillId="9" borderId="4" xfId="0" applyNumberFormat="1" applyFont="1" applyFill="1" applyBorder="1" applyAlignment="1">
      <alignment horizontal="center" vertical="center"/>
    </xf>
    <xf numFmtId="164" fontId="26" fillId="9" borderId="5" xfId="0" applyNumberFormat="1" applyFont="1" applyFill="1" applyBorder="1" applyAlignment="1">
      <alignment horizontal="center" vertical="center"/>
    </xf>
    <xf numFmtId="164" fontId="21" fillId="9" borderId="6" xfId="0" applyNumberFormat="1" applyFont="1" applyFill="1" applyBorder="1" applyAlignment="1">
      <alignment horizontal="center" vertical="center"/>
    </xf>
    <xf numFmtId="164" fontId="21" fillId="9" borderId="7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7" fillId="50" borderId="26" xfId="2" applyFont="1" applyFill="1" applyBorder="1" applyAlignment="1">
      <alignment horizontal="center" vertical="center"/>
    </xf>
    <xf numFmtId="7" fontId="17" fillId="50" borderId="26" xfId="2" applyNumberFormat="1" applyFont="1" applyFill="1" applyBorder="1" applyAlignment="1">
      <alignment horizontal="center" vertical="center"/>
    </xf>
    <xf numFmtId="0" fontId="17" fillId="50" borderId="27" xfId="2" applyFont="1" applyFill="1" applyBorder="1" applyAlignment="1">
      <alignment horizontal="center" vertical="center"/>
    </xf>
    <xf numFmtId="0" fontId="17" fillId="51" borderId="26" xfId="2" applyFont="1" applyFill="1" applyBorder="1" applyAlignment="1">
      <alignment horizontal="center" vertical="center"/>
    </xf>
    <xf numFmtId="7" fontId="17" fillId="51" borderId="26" xfId="2" applyNumberFormat="1" applyFont="1" applyFill="1" applyBorder="1" applyAlignment="1">
      <alignment horizontal="center" vertical="center"/>
    </xf>
    <xf numFmtId="0" fontId="17" fillId="51" borderId="27" xfId="2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right" vertical="center"/>
    </xf>
    <xf numFmtId="0" fontId="6" fillId="4" borderId="21" xfId="0" applyFont="1" applyFill="1" applyBorder="1" applyAlignment="1">
      <alignment horizontal="right" vertical="center"/>
    </xf>
    <xf numFmtId="0" fontId="55" fillId="47" borderId="11" xfId="0" applyFont="1" applyFill="1" applyBorder="1" applyAlignment="1">
      <alignment horizontal="right" vertical="center"/>
    </xf>
    <xf numFmtId="164" fontId="55" fillId="47" borderId="6" xfId="0" applyNumberFormat="1" applyFont="1" applyFill="1" applyBorder="1" applyAlignment="1">
      <alignment horizontal="center" vertical="center"/>
    </xf>
    <xf numFmtId="164" fontId="55" fillId="47" borderId="7" xfId="0" applyNumberFormat="1" applyFont="1" applyFill="1" applyBorder="1" applyAlignment="1">
      <alignment horizontal="center" vertical="center"/>
    </xf>
    <xf numFmtId="0" fontId="48" fillId="0" borderId="23" xfId="0" applyFont="1" applyFill="1" applyBorder="1" applyAlignment="1">
      <alignment horizontal="center" vertical="center" wrapText="1"/>
    </xf>
    <xf numFmtId="0" fontId="48" fillId="0" borderId="24" xfId="0" applyFont="1" applyFill="1" applyBorder="1" applyAlignment="1">
      <alignment horizontal="center" vertical="center" wrapText="1"/>
    </xf>
    <xf numFmtId="0" fontId="48" fillId="0" borderId="25" xfId="0" applyFont="1" applyFill="1" applyBorder="1" applyAlignment="1">
      <alignment horizontal="center" vertical="center" wrapText="1"/>
    </xf>
    <xf numFmtId="0" fontId="17" fillId="47" borderId="22" xfId="2" applyFont="1" applyFill="1" applyBorder="1" applyAlignment="1">
      <alignment horizontal="center" vertical="center"/>
    </xf>
    <xf numFmtId="0" fontId="58" fillId="49" borderId="26" xfId="2" applyFont="1" applyFill="1" applyBorder="1" applyAlignment="1">
      <alignment horizontal="right" vertical="center"/>
    </xf>
    <xf numFmtId="0" fontId="58" fillId="43" borderId="26" xfId="2" applyFont="1" applyFill="1" applyBorder="1" applyAlignment="1">
      <alignment horizontal="right" vertical="center"/>
    </xf>
    <xf numFmtId="167" fontId="61" fillId="52" borderId="26" xfId="0" applyNumberFormat="1" applyFont="1" applyFill="1" applyBorder="1" applyAlignment="1">
      <alignment horizontal="center" vertical="center"/>
    </xf>
    <xf numFmtId="167" fontId="60" fillId="52" borderId="26" xfId="0" applyNumberFormat="1" applyFont="1" applyFill="1" applyBorder="1" applyAlignment="1">
      <alignment horizontal="center" vertical="center"/>
    </xf>
    <xf numFmtId="0" fontId="62" fillId="47" borderId="27" xfId="2" applyFont="1" applyFill="1" applyBorder="1" applyAlignment="1">
      <alignment horizontal="center" vertical="center"/>
    </xf>
    <xf numFmtId="0" fontId="17" fillId="53" borderId="2" xfId="0" applyFont="1" applyFill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9" fillId="54" borderId="26" xfId="0" applyFont="1" applyFill="1" applyBorder="1" applyAlignment="1">
      <alignment horizontal="center" vertical="center"/>
    </xf>
    <xf numFmtId="0" fontId="62" fillId="53" borderId="27" xfId="2" applyFont="1" applyFill="1" applyBorder="1" applyAlignment="1">
      <alignment horizontal="center" vertical="center"/>
    </xf>
    <xf numFmtId="0" fontId="17" fillId="53" borderId="22" xfId="2" applyFont="1" applyFill="1" applyBorder="1" applyAlignment="1">
      <alignment horizontal="center" vertical="center"/>
    </xf>
    <xf numFmtId="0" fontId="17" fillId="47" borderId="2" xfId="0" applyFont="1" applyFill="1" applyBorder="1" applyAlignment="1">
      <alignment horizontal="center" vertical="center"/>
    </xf>
  </cellXfs>
  <cellStyles count="44">
    <cellStyle name="20 % - Accent1 2" xfId="3" xr:uid="{00000000-0005-0000-0000-000031000000}"/>
    <cellStyle name="20 % - Accent2 2" xfId="4" xr:uid="{00000000-0005-0000-0000-000032000000}"/>
    <cellStyle name="20 % - Accent3 2" xfId="5" xr:uid="{00000000-0005-0000-0000-000033000000}"/>
    <cellStyle name="20 % - Accent4 2" xfId="6" xr:uid="{00000000-0005-0000-0000-000034000000}"/>
    <cellStyle name="20 % - Accent5 2" xfId="7" xr:uid="{00000000-0005-0000-0000-000035000000}"/>
    <cellStyle name="20 % - Accent6 2" xfId="8" xr:uid="{00000000-0005-0000-0000-000036000000}"/>
    <cellStyle name="40 % - Accent1 2" xfId="9" xr:uid="{00000000-0005-0000-0000-000037000000}"/>
    <cellStyle name="40 % - Accent2 2" xfId="10" xr:uid="{00000000-0005-0000-0000-000038000000}"/>
    <cellStyle name="40 % - Accent3 2" xfId="11" xr:uid="{00000000-0005-0000-0000-000039000000}"/>
    <cellStyle name="40 % - Accent4 2" xfId="12" xr:uid="{00000000-0005-0000-0000-00003A000000}"/>
    <cellStyle name="40 % - Accent5 2" xfId="13" xr:uid="{00000000-0005-0000-0000-00003B000000}"/>
    <cellStyle name="40 % - Accent6 2" xfId="14" xr:uid="{00000000-0005-0000-0000-00003C000000}"/>
    <cellStyle name="60 % - Accent1 2" xfId="15" xr:uid="{00000000-0005-0000-0000-00003D000000}"/>
    <cellStyle name="60 % - Accent2 2" xfId="16" xr:uid="{00000000-0005-0000-0000-00003E000000}"/>
    <cellStyle name="60 % - Accent3 2" xfId="17" xr:uid="{00000000-0005-0000-0000-00003F000000}"/>
    <cellStyle name="60 % - Accent4 2" xfId="18" xr:uid="{00000000-0005-0000-0000-000040000000}"/>
    <cellStyle name="60 % - Accent5 2" xfId="19" xr:uid="{00000000-0005-0000-0000-000041000000}"/>
    <cellStyle name="60 % - Accent6 2" xfId="20" xr:uid="{00000000-0005-0000-0000-000042000000}"/>
    <cellStyle name="Accent1 2" xfId="21" xr:uid="{00000000-0005-0000-0000-000043000000}"/>
    <cellStyle name="Accent2 2" xfId="22" xr:uid="{00000000-0005-0000-0000-000044000000}"/>
    <cellStyle name="Accent3 2" xfId="23" xr:uid="{00000000-0005-0000-0000-000045000000}"/>
    <cellStyle name="Accent4 2" xfId="24" xr:uid="{00000000-0005-0000-0000-000046000000}"/>
    <cellStyle name="Accent5 2" xfId="25" xr:uid="{00000000-0005-0000-0000-000047000000}"/>
    <cellStyle name="Accent6 2" xfId="26" xr:uid="{00000000-0005-0000-0000-000048000000}"/>
    <cellStyle name="Avertissement 2" xfId="27" xr:uid="{00000000-0005-0000-0000-000049000000}"/>
    <cellStyle name="Calcul 2" xfId="28" xr:uid="{00000000-0005-0000-0000-00004A000000}"/>
    <cellStyle name="Cellule liée 2" xfId="29" xr:uid="{00000000-0005-0000-0000-00004B000000}"/>
    <cellStyle name="Entrée 2" xfId="30" xr:uid="{00000000-0005-0000-0000-00004C000000}"/>
    <cellStyle name="Hyperlink" xfId="1" xr:uid="{00000000-0005-0000-0000-000031000000}"/>
    <cellStyle name="Insatisfaisant 2" xfId="31" xr:uid="{00000000-0005-0000-0000-00004D000000}"/>
    <cellStyle name="Neutre 2" xfId="32" xr:uid="{00000000-0005-0000-0000-00004E000000}"/>
    <cellStyle name="Normal" xfId="0" builtinId="0"/>
    <cellStyle name="Normal 2" xfId="2" xr:uid="{00000000-0005-0000-0000-000032000000}"/>
    <cellStyle name="Note 2" xfId="33" xr:uid="{00000000-0005-0000-0000-00004F000000}"/>
    <cellStyle name="Satisfaisant 2" xfId="34" xr:uid="{00000000-0005-0000-0000-000050000000}"/>
    <cellStyle name="Sortie 2" xfId="35" xr:uid="{00000000-0005-0000-0000-000051000000}"/>
    <cellStyle name="Texte explicatif 2" xfId="36" xr:uid="{00000000-0005-0000-0000-000052000000}"/>
    <cellStyle name="Titre 2" xfId="37" xr:uid="{00000000-0005-0000-0000-000053000000}"/>
    <cellStyle name="Titre 1 2" xfId="38" xr:uid="{00000000-0005-0000-0000-000054000000}"/>
    <cellStyle name="Titre 2 2" xfId="39" xr:uid="{00000000-0005-0000-0000-000055000000}"/>
    <cellStyle name="Titre 3 2" xfId="40" xr:uid="{00000000-0005-0000-0000-000056000000}"/>
    <cellStyle name="Titre 4 2" xfId="41" xr:uid="{00000000-0005-0000-0000-000057000000}"/>
    <cellStyle name="Total 2" xfId="42" xr:uid="{00000000-0005-0000-0000-000058000000}"/>
    <cellStyle name="Vérification 2" xfId="43" xr:uid="{00000000-0005-0000-0000-000059000000}"/>
  </cellStyles>
  <dxfs count="0"/>
  <tableStyles count="0" defaultTableStyle="TableStyleMedium9" defaultPivotStyle="PivotStyleLight16"/>
  <colors>
    <mruColors>
      <color rgb="FFD6F8FE"/>
      <color rgb="FFF7FED6"/>
      <color rgb="FF7EC234"/>
      <color rgb="FFFFCCCC"/>
      <color rgb="FF36B645"/>
      <color rgb="FF00CC00"/>
      <color rgb="FFFFCC00"/>
      <color rgb="FFE7FF01"/>
      <color rgb="FF06D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A6E5D-976A-42CB-BB71-7BBA25A8114D}">
  <sheetPr>
    <tabColor rgb="FFFFFF00"/>
  </sheetPr>
  <dimension ref="A1:J12"/>
  <sheetViews>
    <sheetView tabSelected="1" workbookViewId="0">
      <selection activeCell="I30" sqref="I30"/>
    </sheetView>
  </sheetViews>
  <sheetFormatPr baseColWidth="10" defaultColWidth="9" defaultRowHeight="12.75"/>
  <cols>
    <col min="1" max="1" width="42.7109375" style="27" customWidth="1"/>
    <col min="2" max="2" width="94.85546875" style="63" bestFit="1" customWidth="1"/>
    <col min="3" max="3" width="23.7109375" style="64" bestFit="1" customWidth="1"/>
    <col min="4" max="4" width="14.7109375" style="27" bestFit="1" customWidth="1"/>
    <col min="5" max="6" width="13.42578125" style="27" customWidth="1"/>
    <col min="7" max="7" width="10.5703125" style="27" customWidth="1"/>
    <col min="8" max="8" width="12.7109375" style="27" bestFit="1" customWidth="1"/>
    <col min="9" max="9" width="10.5703125" style="27" bestFit="1" customWidth="1"/>
    <col min="10" max="10" width="27.85546875" style="49" customWidth="1"/>
    <col min="11" max="11" width="10" style="27" bestFit="1" customWidth="1"/>
    <col min="12" max="12" width="11.28515625" style="27" customWidth="1"/>
    <col min="13" max="13" width="12.7109375" style="27" bestFit="1" customWidth="1"/>
    <col min="14" max="14" width="10.140625" style="27" bestFit="1" customWidth="1"/>
    <col min="15" max="15" width="12.7109375" style="27" bestFit="1" customWidth="1"/>
    <col min="16" max="257" width="11.42578125" style="27" customWidth="1"/>
    <col min="258" max="16384" width="9" style="27"/>
  </cols>
  <sheetData>
    <row r="1" spans="1:10" s="123" customFormat="1" ht="38.25" customHeight="1">
      <c r="A1" s="125" t="s">
        <v>68</v>
      </c>
      <c r="B1" s="125" t="s">
        <v>69</v>
      </c>
      <c r="C1" s="125" t="s">
        <v>70</v>
      </c>
      <c r="J1" s="124"/>
    </row>
    <row r="3" spans="1:10" ht="12.75" customHeight="1">
      <c r="A3" s="122" t="s">
        <v>66</v>
      </c>
      <c r="B3" s="126" t="s">
        <v>67</v>
      </c>
    </row>
    <row r="4" spans="1:10" ht="12.75" customHeight="1">
      <c r="A4" s="122"/>
      <c r="B4" s="127"/>
    </row>
    <row r="5" spans="1:10" ht="18">
      <c r="B5" s="117" t="s">
        <v>71</v>
      </c>
      <c r="C5" s="119">
        <f>'Avec accompagnateur'!$B$47</f>
        <v>1990</v>
      </c>
    </row>
    <row r="6" spans="1:10" ht="18">
      <c r="B6" s="118" t="s">
        <v>72</v>
      </c>
      <c r="C6" s="120">
        <f>'Sans accompagnateur'!$B$47</f>
        <v>1590.7377445249786</v>
      </c>
    </row>
    <row r="9" spans="1:10">
      <c r="A9" s="128" t="s">
        <v>73</v>
      </c>
      <c r="B9" s="121" t="s">
        <v>74</v>
      </c>
    </row>
    <row r="10" spans="1:10">
      <c r="A10" s="128"/>
      <c r="B10" s="116"/>
    </row>
    <row r="11" spans="1:10" ht="18">
      <c r="B11" s="117" t="s">
        <v>71</v>
      </c>
      <c r="C11" s="119">
        <f>'Avec accompagnateur'!$B$47</f>
        <v>1990</v>
      </c>
    </row>
    <row r="12" spans="1:10" ht="18">
      <c r="B12" s="118" t="s">
        <v>72</v>
      </c>
      <c r="C12" s="120">
        <f>'Sans accompagnateur'!$B$47</f>
        <v>1590.7377445249786</v>
      </c>
    </row>
  </sheetData>
  <mergeCells count="4">
    <mergeCell ref="B3:B4"/>
    <mergeCell ref="A3:A4"/>
    <mergeCell ref="A9:A10"/>
    <mergeCell ref="B9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O51"/>
  <sheetViews>
    <sheetView topLeftCell="A13" workbookViewId="0">
      <selection activeCell="B48" sqref="B48"/>
    </sheetView>
  </sheetViews>
  <sheetFormatPr baseColWidth="10" defaultColWidth="9" defaultRowHeight="12.75"/>
  <cols>
    <col min="1" max="1" width="88.42578125" style="63" bestFit="1" customWidth="1"/>
    <col min="2" max="2" width="14" style="64" customWidth="1"/>
    <col min="3" max="3" width="14.7109375" style="27" bestFit="1" customWidth="1"/>
    <col min="4" max="5" width="13.42578125" style="27" customWidth="1"/>
    <col min="6" max="6" width="10.5703125" style="27" customWidth="1"/>
    <col min="7" max="7" width="12.7109375" style="27" bestFit="1" customWidth="1"/>
    <col min="8" max="8" width="10.5703125" style="27" bestFit="1" customWidth="1"/>
    <col min="9" max="9" width="27.85546875" style="49" customWidth="1"/>
    <col min="10" max="10" width="10" style="27" bestFit="1" customWidth="1"/>
    <col min="11" max="11" width="11.28515625" style="27" customWidth="1"/>
    <col min="12" max="12" width="12.7109375" style="27" bestFit="1" customWidth="1"/>
    <col min="13" max="13" width="10.140625" style="27" bestFit="1" customWidth="1"/>
    <col min="14" max="14" width="12.7109375" style="27" bestFit="1" customWidth="1"/>
    <col min="15" max="256" width="11.42578125" style="27" customWidth="1"/>
    <col min="257" max="16384" width="9" style="27"/>
  </cols>
  <sheetData>
    <row r="1" spans="1:15">
      <c r="A1" s="102" t="s">
        <v>58</v>
      </c>
      <c r="B1" s="102"/>
      <c r="C1" s="102"/>
      <c r="D1" s="102"/>
      <c r="E1" s="102"/>
      <c r="F1" s="102"/>
      <c r="G1" s="102"/>
      <c r="H1" s="102"/>
      <c r="I1" s="103"/>
    </row>
    <row r="2" spans="1:15" ht="13.5" thickBot="1">
      <c r="A2" s="102"/>
      <c r="B2" s="102"/>
      <c r="C2" s="102"/>
      <c r="D2" s="102"/>
      <c r="E2" s="102"/>
      <c r="F2" s="102"/>
      <c r="G2" s="104"/>
      <c r="H2" s="104"/>
      <c r="I2" s="103"/>
    </row>
    <row r="3" spans="1:15" ht="15" customHeight="1">
      <c r="A3" s="28"/>
      <c r="B3" s="18" t="s">
        <v>51</v>
      </c>
      <c r="C3" s="91">
        <v>6</v>
      </c>
      <c r="D3" s="92"/>
      <c r="E3" s="92"/>
      <c r="F3" s="92"/>
      <c r="G3" s="89" t="s">
        <v>1</v>
      </c>
      <c r="H3" s="90"/>
      <c r="I3" s="27"/>
    </row>
    <row r="4" spans="1:15" ht="15" customHeight="1">
      <c r="A4" s="28"/>
      <c r="B4" s="18" t="s">
        <v>62</v>
      </c>
      <c r="C4" s="94" t="s">
        <v>46</v>
      </c>
      <c r="D4" s="95"/>
      <c r="E4" s="95"/>
      <c r="F4" s="95"/>
      <c r="G4" s="29" t="s">
        <v>48</v>
      </c>
      <c r="H4" s="30">
        <v>1750</v>
      </c>
      <c r="I4" s="27"/>
    </row>
    <row r="5" spans="1:15" ht="14.25">
      <c r="A5" s="100" t="s">
        <v>4</v>
      </c>
      <c r="B5" s="101"/>
      <c r="C5" s="14" t="s">
        <v>2</v>
      </c>
      <c r="D5" s="14" t="s">
        <v>3</v>
      </c>
      <c r="E5" s="14" t="s">
        <v>53</v>
      </c>
      <c r="F5" s="17" t="s">
        <v>54</v>
      </c>
      <c r="G5" s="19" t="s">
        <v>49</v>
      </c>
      <c r="H5" s="24">
        <v>47</v>
      </c>
      <c r="I5" s="27"/>
    </row>
    <row r="6" spans="1:15" s="1" customFormat="1" ht="15.75" thickBot="1">
      <c r="A6" s="5" t="s">
        <v>6</v>
      </c>
      <c r="B6" s="15">
        <f>SUM(B7:B13)</f>
        <v>1246.8693009118542</v>
      </c>
      <c r="C6" s="8"/>
      <c r="D6" s="10"/>
      <c r="E6" s="10"/>
      <c r="F6" s="71"/>
      <c r="G6" s="31" t="s">
        <v>50</v>
      </c>
      <c r="H6" s="20">
        <v>1.17</v>
      </c>
      <c r="I6" s="27"/>
      <c r="J6" s="27"/>
      <c r="K6" s="27"/>
      <c r="L6" s="27"/>
      <c r="M6" s="27"/>
      <c r="N6" s="27"/>
      <c r="O6" s="27"/>
    </row>
    <row r="7" spans="1:15" s="34" customFormat="1" ht="15">
      <c r="A7" s="7" t="s">
        <v>7</v>
      </c>
      <c r="B7" s="32">
        <f>((35000*2)*2)/H4</f>
        <v>80</v>
      </c>
      <c r="C7" s="8"/>
      <c r="D7" s="10"/>
      <c r="E7" s="10"/>
      <c r="F7" s="72"/>
      <c r="G7" s="27"/>
      <c r="H7" s="27"/>
      <c r="I7" s="33"/>
      <c r="J7" s="13" t="s">
        <v>8</v>
      </c>
      <c r="K7" s="33"/>
      <c r="L7" s="33"/>
      <c r="M7" s="27"/>
      <c r="N7" s="27"/>
      <c r="O7" s="27"/>
    </row>
    <row r="8" spans="1:15" s="2" customFormat="1" ht="15">
      <c r="A8" s="7" t="s">
        <v>9</v>
      </c>
      <c r="B8" s="35">
        <f>260</f>
        <v>260</v>
      </c>
      <c r="C8" s="8"/>
      <c r="D8" s="10"/>
      <c r="E8" s="36">
        <f>201</f>
        <v>201</v>
      </c>
      <c r="F8" s="72"/>
      <c r="G8" s="26" t="s">
        <v>10</v>
      </c>
      <c r="H8" s="80" t="s">
        <v>47</v>
      </c>
      <c r="I8" s="81"/>
      <c r="J8" s="37">
        <v>68.31</v>
      </c>
      <c r="K8" s="38">
        <v>45841</v>
      </c>
      <c r="L8" s="39" t="s">
        <v>11</v>
      </c>
      <c r="M8" s="27"/>
      <c r="N8" s="27"/>
      <c r="O8" s="27"/>
    </row>
    <row r="9" spans="1:15" s="33" customFormat="1" ht="15">
      <c r="A9" s="7" t="s">
        <v>12</v>
      </c>
      <c r="B9" s="40">
        <f>D9/H5</f>
        <v>38.297872340425535</v>
      </c>
      <c r="C9" s="8"/>
      <c r="D9" s="41">
        <f>(20*90)</f>
        <v>1800</v>
      </c>
      <c r="E9" s="10"/>
      <c r="F9" s="72"/>
      <c r="I9" s="27"/>
      <c r="J9" s="27"/>
      <c r="K9" s="38"/>
      <c r="L9" s="39"/>
      <c r="M9" s="27"/>
      <c r="N9" s="27"/>
      <c r="O9" s="27"/>
    </row>
    <row r="10" spans="1:15" s="33" customFormat="1" ht="15">
      <c r="A10" s="4" t="s">
        <v>13</v>
      </c>
      <c r="B10" s="32">
        <f>550</f>
        <v>550</v>
      </c>
      <c r="C10" s="8"/>
      <c r="D10" s="10"/>
      <c r="E10" s="10"/>
      <c r="F10" s="72"/>
      <c r="G10" s="26" t="s">
        <v>14</v>
      </c>
      <c r="H10" s="80" t="s">
        <v>15</v>
      </c>
      <c r="I10" s="81"/>
      <c r="J10" s="37">
        <f>307.19+186.57</f>
        <v>493.76</v>
      </c>
      <c r="K10" s="38">
        <v>45845</v>
      </c>
      <c r="L10" s="39" t="s">
        <v>11</v>
      </c>
      <c r="M10" s="27"/>
      <c r="N10" s="27"/>
      <c r="O10" s="27"/>
    </row>
    <row r="11" spans="1:15" s="34" customFormat="1" ht="15">
      <c r="A11" s="7" t="s">
        <v>16</v>
      </c>
      <c r="B11" s="32">
        <v>50</v>
      </c>
      <c r="C11" s="8"/>
      <c r="D11" s="41">
        <f>B11*H5</f>
        <v>2350</v>
      </c>
      <c r="E11" s="10"/>
      <c r="F11" s="72"/>
      <c r="M11" s="27"/>
      <c r="N11" s="27"/>
      <c r="O11" s="27"/>
    </row>
    <row r="12" spans="1:15" s="34" customFormat="1" ht="15">
      <c r="A12" s="7" t="s">
        <v>17</v>
      </c>
      <c r="B12" s="32">
        <v>200</v>
      </c>
      <c r="C12" s="42">
        <f>150*H4</f>
        <v>262500</v>
      </c>
      <c r="D12" s="41">
        <f>50*H5</f>
        <v>2350</v>
      </c>
      <c r="E12" s="10"/>
      <c r="F12" s="72"/>
      <c r="G12" s="33"/>
      <c r="H12" s="33"/>
      <c r="I12" s="27"/>
      <c r="J12" s="27"/>
      <c r="K12" s="27"/>
      <c r="L12" s="27"/>
      <c r="M12" s="27"/>
      <c r="N12" s="27"/>
      <c r="O12" s="27"/>
    </row>
    <row r="13" spans="1:15" s="2" customFormat="1" ht="15">
      <c r="A13" s="7" t="s">
        <v>18</v>
      </c>
      <c r="B13" s="32">
        <f>C13/H4</f>
        <v>68.571428571428569</v>
      </c>
      <c r="C13" s="42">
        <v>120000</v>
      </c>
      <c r="D13" s="10"/>
      <c r="E13" s="10"/>
      <c r="F13" s="72"/>
      <c r="G13" s="27"/>
      <c r="H13" s="27"/>
      <c r="I13" s="27"/>
      <c r="J13" s="27"/>
      <c r="K13" s="27"/>
      <c r="L13" s="27"/>
      <c r="M13" s="27"/>
      <c r="N13" s="27"/>
      <c r="O13" s="27"/>
    </row>
    <row r="14" spans="1:15" ht="15">
      <c r="A14" s="74"/>
      <c r="B14" s="43"/>
      <c r="C14" s="10"/>
      <c r="D14" s="10"/>
      <c r="E14" s="10"/>
      <c r="F14" s="72"/>
      <c r="I14" s="27"/>
    </row>
    <row r="15" spans="1:15" ht="15">
      <c r="A15" s="75" t="s">
        <v>19</v>
      </c>
      <c r="B15" s="15">
        <f>SUM(B16:B18)</f>
        <v>2103.5744680851067</v>
      </c>
      <c r="C15" s="9"/>
      <c r="D15" s="44"/>
      <c r="E15" s="10"/>
      <c r="F15" s="71"/>
      <c r="G15" s="88" t="s">
        <v>52</v>
      </c>
      <c r="H15" s="88"/>
      <c r="I15" s="33"/>
      <c r="J15" s="33"/>
      <c r="K15" s="33"/>
      <c r="L15" s="33"/>
    </row>
    <row r="16" spans="1:15" s="34" customFormat="1" ht="15">
      <c r="A16" s="45" t="s">
        <v>20</v>
      </c>
      <c r="B16" s="32">
        <f>((C16/H4)+(D16/H5))*C3</f>
        <v>396</v>
      </c>
      <c r="C16" s="42">
        <f>(6*H4)*8</f>
        <v>84000</v>
      </c>
      <c r="D16" s="41">
        <f>(6*H5)*3</f>
        <v>846</v>
      </c>
      <c r="E16" s="10"/>
      <c r="F16" s="71">
        <v>36</v>
      </c>
      <c r="G16" s="87">
        <f>396</f>
        <v>396</v>
      </c>
      <c r="H16" s="87"/>
      <c r="I16" s="33"/>
      <c r="J16" s="33"/>
      <c r="K16" s="33"/>
      <c r="L16" s="33"/>
      <c r="M16" s="27"/>
    </row>
    <row r="17" spans="1:13" s="2" customFormat="1" ht="15">
      <c r="A17" s="45" t="s">
        <v>21</v>
      </c>
      <c r="B17" s="32">
        <f>(C17/H4)+(D17/H5)</f>
        <v>1227.5744680851064</v>
      </c>
      <c r="C17" s="42">
        <f>(28000*8)*6</f>
        <v>1344000</v>
      </c>
      <c r="D17" s="41">
        <f>(1200*3)*6</f>
        <v>21600</v>
      </c>
      <c r="E17" s="10"/>
      <c r="F17" s="71"/>
      <c r="G17" s="87">
        <f>1118.58</f>
        <v>1118.58</v>
      </c>
      <c r="H17" s="87"/>
      <c r="I17" s="33"/>
      <c r="J17" s="33"/>
      <c r="K17" s="33"/>
      <c r="L17" s="33"/>
      <c r="M17" s="27"/>
    </row>
    <row r="18" spans="1:13" s="34" customFormat="1" ht="15">
      <c r="A18" s="45" t="s">
        <v>59</v>
      </c>
      <c r="B18" s="32">
        <f>(40*2)*C3</f>
        <v>480</v>
      </c>
      <c r="C18" s="42">
        <f>B18*H4</f>
        <v>840000</v>
      </c>
      <c r="D18" s="10"/>
      <c r="E18" s="10"/>
      <c r="F18" s="71"/>
      <c r="G18" s="87">
        <f>420</f>
        <v>420</v>
      </c>
      <c r="H18" s="87"/>
      <c r="I18" s="33"/>
      <c r="J18" s="33"/>
      <c r="K18" s="33"/>
      <c r="L18" s="33"/>
      <c r="M18" s="27"/>
    </row>
    <row r="19" spans="1:13" ht="15">
      <c r="A19" s="76"/>
      <c r="B19" s="46"/>
      <c r="C19" s="10"/>
      <c r="D19" s="10"/>
      <c r="E19" s="10"/>
      <c r="F19" s="72"/>
      <c r="I19" s="33"/>
    </row>
    <row r="20" spans="1:13" ht="15">
      <c r="A20" s="75" t="s">
        <v>22</v>
      </c>
      <c r="B20" s="15">
        <v>2200</v>
      </c>
      <c r="C20" s="10"/>
      <c r="D20" s="10"/>
      <c r="E20" s="10"/>
      <c r="F20" s="72"/>
      <c r="G20" s="78" t="s">
        <v>60</v>
      </c>
      <c r="I20" s="33"/>
      <c r="J20" s="33"/>
      <c r="K20" s="33"/>
      <c r="L20" s="33"/>
    </row>
    <row r="21" spans="1:13" s="34" customFormat="1" ht="15">
      <c r="A21" s="47" t="s">
        <v>23</v>
      </c>
      <c r="B21" s="35">
        <f>(E21/H6)+90</f>
        <v>1066.7179487179487</v>
      </c>
      <c r="C21" s="10"/>
      <c r="D21" s="10"/>
      <c r="E21" s="36">
        <f>551.46+591.3</f>
        <v>1142.76</v>
      </c>
      <c r="F21" s="72"/>
      <c r="G21" s="27"/>
      <c r="H21" s="27"/>
      <c r="I21" s="33"/>
      <c r="J21" s="27"/>
      <c r="K21" s="27"/>
      <c r="L21" s="27"/>
      <c r="M21" s="27"/>
    </row>
    <row r="22" spans="1:13" s="34" customFormat="1" ht="15">
      <c r="A22" s="47" t="s">
        <v>24</v>
      </c>
      <c r="B22" s="32">
        <f>E22/H6</f>
        <v>542.30769230769238</v>
      </c>
      <c r="C22" s="10"/>
      <c r="D22" s="10"/>
      <c r="E22" s="36">
        <v>634.5</v>
      </c>
      <c r="F22" s="72"/>
      <c r="G22" s="27"/>
      <c r="H22" s="27"/>
      <c r="I22" s="33"/>
      <c r="J22" s="27"/>
      <c r="K22" s="27"/>
      <c r="L22" s="27"/>
      <c r="M22" s="27"/>
    </row>
    <row r="23" spans="1:13" s="2" customFormat="1" ht="15">
      <c r="A23" s="47" t="s">
        <v>25</v>
      </c>
      <c r="B23" s="40">
        <v>286.95999999999998</v>
      </c>
      <c r="C23" s="10"/>
      <c r="D23" s="10"/>
      <c r="E23" s="10"/>
      <c r="F23" s="72"/>
      <c r="G23" s="26" t="s">
        <v>56</v>
      </c>
      <c r="H23" s="80" t="s">
        <v>15</v>
      </c>
      <c r="I23" s="81"/>
      <c r="J23" s="37">
        <f>286.96</f>
        <v>286.95999999999998</v>
      </c>
      <c r="K23" s="38">
        <v>45943</v>
      </c>
      <c r="L23" s="39" t="s">
        <v>11</v>
      </c>
      <c r="M23" s="27"/>
    </row>
    <row r="24" spans="1:13" s="33" customFormat="1" ht="15">
      <c r="A24" s="77"/>
      <c r="B24" s="48"/>
      <c r="C24" s="9"/>
      <c r="D24" s="44"/>
      <c r="E24" s="10"/>
      <c r="F24" s="72"/>
      <c r="G24" s="27"/>
      <c r="H24" s="27"/>
      <c r="J24" s="27"/>
      <c r="K24" s="27"/>
      <c r="L24" s="27"/>
      <c r="M24" s="27"/>
    </row>
    <row r="25" spans="1:13" ht="15">
      <c r="A25" s="75" t="s">
        <v>26</v>
      </c>
      <c r="B25" s="15">
        <f>SUM(B26:B40)</f>
        <v>1582.2233393084457</v>
      </c>
      <c r="C25" s="9"/>
      <c r="D25" s="9"/>
      <c r="E25" s="10"/>
      <c r="F25" s="72"/>
      <c r="I25" s="33"/>
    </row>
    <row r="26" spans="1:13" ht="15">
      <c r="A26" s="4" t="s">
        <v>40</v>
      </c>
      <c r="B26" s="32">
        <f>(5)*(C3+1)</f>
        <v>35</v>
      </c>
      <c r="C26" s="42">
        <f>B26*H4</f>
        <v>61250</v>
      </c>
      <c r="D26" s="10"/>
      <c r="E26" s="10"/>
      <c r="F26" s="72"/>
      <c r="I26" s="27"/>
    </row>
    <row r="27" spans="1:13" ht="15">
      <c r="A27" s="4" t="s">
        <v>27</v>
      </c>
      <c r="B27" s="32">
        <v>0</v>
      </c>
      <c r="C27" s="10"/>
      <c r="D27" s="10"/>
      <c r="E27" s="10"/>
      <c r="F27" s="72"/>
      <c r="I27" s="27"/>
    </row>
    <row r="28" spans="1:13" ht="15">
      <c r="A28" s="4" t="s">
        <v>28</v>
      </c>
      <c r="B28" s="32">
        <f>(C28/$H$4)*($C$3+1)</f>
        <v>20</v>
      </c>
      <c r="C28" s="42">
        <v>5000</v>
      </c>
      <c r="D28" s="10"/>
      <c r="E28" s="10"/>
      <c r="F28" s="72"/>
      <c r="G28" s="49"/>
      <c r="I28" s="27"/>
    </row>
    <row r="29" spans="1:13" ht="15">
      <c r="A29" s="4" t="s">
        <v>29</v>
      </c>
      <c r="B29" s="32">
        <f>(C29/$H$4)*($C$3+1)</f>
        <v>92</v>
      </c>
      <c r="C29" s="42">
        <v>23000</v>
      </c>
      <c r="D29" s="10"/>
      <c r="E29" s="10"/>
      <c r="F29" s="72"/>
      <c r="G29" s="49"/>
      <c r="I29" s="27"/>
    </row>
    <row r="30" spans="1:13" ht="15">
      <c r="A30" s="4" t="s">
        <v>61</v>
      </c>
      <c r="B30" s="32">
        <f>(90/1.17)*C3</f>
        <v>461.5384615384616</v>
      </c>
      <c r="C30" s="10"/>
      <c r="D30" s="10"/>
      <c r="E30" s="10"/>
      <c r="F30" s="72"/>
      <c r="G30" s="26">
        <v>45975</v>
      </c>
      <c r="H30" s="82" t="s">
        <v>42</v>
      </c>
      <c r="I30" s="83"/>
    </row>
    <row r="31" spans="1:13" ht="15">
      <c r="A31" s="4" t="s">
        <v>39</v>
      </c>
      <c r="B31" s="32">
        <f>C31/H4</f>
        <v>6.8571428571428568</v>
      </c>
      <c r="C31" s="42">
        <f>(1000*2)*C3</f>
        <v>12000</v>
      </c>
      <c r="D31" s="10"/>
      <c r="E31" s="10"/>
      <c r="F31" s="72"/>
      <c r="G31" s="49"/>
      <c r="I31" s="27"/>
    </row>
    <row r="32" spans="1:13" ht="15">
      <c r="A32" s="4" t="s">
        <v>55</v>
      </c>
      <c r="B32" s="40">
        <f>(C32/H4)+100</f>
        <v>271.42857142857144</v>
      </c>
      <c r="C32" s="42">
        <f>(10000*5)*6</f>
        <v>300000</v>
      </c>
      <c r="D32" s="10"/>
      <c r="E32" s="10"/>
      <c r="F32" s="73">
        <v>100</v>
      </c>
      <c r="G32" s="49"/>
      <c r="I32" s="27"/>
    </row>
    <row r="33" spans="1:15" ht="15">
      <c r="A33" s="4" t="s">
        <v>41</v>
      </c>
      <c r="B33" s="40">
        <f>D33/H5</f>
        <v>180.85106382978722</v>
      </c>
      <c r="C33" s="10"/>
      <c r="D33" s="41">
        <v>8500</v>
      </c>
      <c r="E33" s="10"/>
      <c r="F33" s="72"/>
      <c r="G33" s="49"/>
      <c r="I33" s="27"/>
    </row>
    <row r="34" spans="1:15" s="34" customFormat="1" ht="15">
      <c r="A34" s="7" t="s">
        <v>30</v>
      </c>
      <c r="B34" s="32">
        <v>0</v>
      </c>
      <c r="C34" s="10"/>
      <c r="D34" s="10"/>
      <c r="E34" s="10"/>
      <c r="F34" s="72"/>
      <c r="G34" s="49"/>
      <c r="H34" s="27"/>
      <c r="I34" s="27"/>
      <c r="J34" s="27"/>
      <c r="K34" s="27"/>
      <c r="L34" s="27"/>
      <c r="M34" s="27"/>
      <c r="N34" s="27"/>
      <c r="O34" s="27"/>
    </row>
    <row r="35" spans="1:15" s="34" customFormat="1" ht="15">
      <c r="A35" s="7" t="s">
        <v>31</v>
      </c>
      <c r="B35" s="32">
        <f>(D35/H5)</f>
        <v>95.744680851063833</v>
      </c>
      <c r="C35" s="10"/>
      <c r="D35" s="41">
        <f>750*6</f>
        <v>4500</v>
      </c>
      <c r="E35" s="10"/>
      <c r="F35" s="72"/>
      <c r="G35" s="49"/>
      <c r="H35" s="27"/>
      <c r="I35" s="27"/>
      <c r="J35" s="27"/>
      <c r="K35" s="27"/>
      <c r="L35" s="27"/>
      <c r="M35" s="27"/>
      <c r="N35" s="27"/>
      <c r="O35" s="27"/>
    </row>
    <row r="36" spans="1:15" s="33" customFormat="1" ht="15">
      <c r="A36" s="7" t="s">
        <v>32</v>
      </c>
      <c r="B36" s="32">
        <v>0</v>
      </c>
      <c r="C36" s="10"/>
      <c r="D36" s="10"/>
      <c r="E36" s="10"/>
      <c r="F36" s="72"/>
      <c r="G36" s="49"/>
      <c r="H36" s="27"/>
      <c r="I36" s="27"/>
      <c r="J36" s="27"/>
      <c r="K36" s="27"/>
      <c r="L36" s="27"/>
      <c r="M36" s="27"/>
      <c r="N36" s="27"/>
      <c r="O36" s="27"/>
    </row>
    <row r="37" spans="1:15" ht="15">
      <c r="A37" s="7" t="s">
        <v>33</v>
      </c>
      <c r="B37" s="32">
        <v>0</v>
      </c>
      <c r="C37" s="10"/>
      <c r="D37" s="10"/>
      <c r="E37" s="10"/>
      <c r="F37" s="72"/>
      <c r="G37" s="49"/>
      <c r="I37" s="27"/>
    </row>
    <row r="38" spans="1:15" s="33" customFormat="1" ht="15">
      <c r="A38" s="7" t="s">
        <v>43</v>
      </c>
      <c r="B38" s="32">
        <f>E38/H6</f>
        <v>213.67521367521368</v>
      </c>
      <c r="C38" s="10"/>
      <c r="D38" s="10"/>
      <c r="E38" s="36">
        <f>50*5</f>
        <v>250</v>
      </c>
      <c r="F38" s="72"/>
      <c r="G38" s="49"/>
      <c r="H38" s="27"/>
      <c r="I38" s="27"/>
      <c r="J38" s="27"/>
      <c r="K38" s="27"/>
      <c r="L38" s="27"/>
    </row>
    <row r="39" spans="1:15" s="33" customFormat="1" ht="15">
      <c r="A39" s="7" t="s">
        <v>44</v>
      </c>
      <c r="B39" s="32">
        <f>E39/H6</f>
        <v>205.12820512820514</v>
      </c>
      <c r="C39" s="10"/>
      <c r="D39" s="10"/>
      <c r="E39" s="36">
        <f>40*6</f>
        <v>240</v>
      </c>
      <c r="F39" s="72"/>
      <c r="G39" s="49"/>
      <c r="H39" s="27"/>
      <c r="I39" s="27"/>
      <c r="J39" s="27"/>
      <c r="K39" s="27"/>
      <c r="L39" s="27"/>
    </row>
    <row r="40" spans="1:15" s="33" customFormat="1" ht="15.75" thickBot="1">
      <c r="A40" s="25"/>
      <c r="B40" s="32"/>
      <c r="C40" s="10"/>
      <c r="D40" s="10"/>
      <c r="E40" s="10"/>
      <c r="F40" s="72"/>
      <c r="G40" s="27"/>
      <c r="H40" s="27"/>
      <c r="I40" s="27"/>
      <c r="J40" s="27"/>
    </row>
    <row r="41" spans="1:15" s="33" customFormat="1" ht="15.75" thickBot="1">
      <c r="A41" s="50"/>
      <c r="B41" s="51"/>
      <c r="C41" s="52">
        <f>SUM(C6:C40)</f>
        <v>3051750</v>
      </c>
      <c r="D41" s="53">
        <f>SUM(D6:D40)</f>
        <v>41946</v>
      </c>
      <c r="E41" s="54">
        <f>SUM(E6:E40)</f>
        <v>2468.2600000000002</v>
      </c>
      <c r="F41" s="55">
        <f>SUM(F6:F40)</f>
        <v>136</v>
      </c>
      <c r="G41" s="27"/>
      <c r="H41" s="27"/>
      <c r="I41" s="27"/>
      <c r="J41" s="27"/>
    </row>
    <row r="42" spans="1:15" ht="15.75" thickBot="1">
      <c r="A42" s="56" t="s">
        <v>34</v>
      </c>
      <c r="B42" s="21">
        <f>SUM(B43:B44)</f>
        <v>20</v>
      </c>
      <c r="C42" s="22">
        <f>C41/H4</f>
        <v>1743.8571428571429</v>
      </c>
      <c r="D42" s="23">
        <f>D41/H5</f>
        <v>892.468085106383</v>
      </c>
      <c r="E42" s="84" t="s">
        <v>0</v>
      </c>
      <c r="F42" s="85"/>
      <c r="G42" s="86"/>
      <c r="H42" s="86"/>
      <c r="I42" s="27"/>
    </row>
    <row r="43" spans="1:15" s="33" customFormat="1" ht="14.25" customHeight="1">
      <c r="A43" s="3" t="s">
        <v>35</v>
      </c>
      <c r="B43" s="32">
        <f>20</f>
        <v>20</v>
      </c>
      <c r="C43" s="8"/>
      <c r="D43" s="10"/>
      <c r="E43" s="93" t="s">
        <v>57</v>
      </c>
      <c r="F43" s="93"/>
      <c r="G43" s="93"/>
      <c r="H43" s="57">
        <v>1200</v>
      </c>
      <c r="I43" s="27"/>
      <c r="J43" s="27"/>
      <c r="K43" s="27"/>
      <c r="L43" s="27"/>
    </row>
    <row r="44" spans="1:15" ht="15">
      <c r="A44" s="3"/>
      <c r="B44" s="58"/>
      <c r="C44" s="8"/>
      <c r="D44" s="10"/>
      <c r="E44" s="93" t="s">
        <v>45</v>
      </c>
      <c r="F44" s="93"/>
      <c r="G44" s="93"/>
      <c r="H44" s="57">
        <v>80</v>
      </c>
      <c r="I44" s="27"/>
    </row>
    <row r="45" spans="1:15" ht="15.75" thickBot="1">
      <c r="A45" s="79" t="s">
        <v>36</v>
      </c>
      <c r="B45" s="16">
        <f>H49</f>
        <v>1330</v>
      </c>
      <c r="C45" s="11"/>
      <c r="D45" s="10"/>
      <c r="E45" s="93" t="s">
        <v>5</v>
      </c>
      <c r="F45" s="93"/>
      <c r="G45" s="93"/>
      <c r="H45" s="57">
        <v>50</v>
      </c>
      <c r="I45" s="27"/>
    </row>
    <row r="46" spans="1:15" ht="15.75" thickBot="1">
      <c r="A46" s="6" t="s">
        <v>37</v>
      </c>
      <c r="B46" s="96">
        <f>(B49-C49)</f>
        <v>1467.3328916945939</v>
      </c>
      <c r="C46" s="97"/>
      <c r="D46" s="10"/>
      <c r="E46" s="93"/>
      <c r="F46" s="93"/>
      <c r="G46" s="93"/>
      <c r="H46" s="57"/>
      <c r="I46" s="27"/>
    </row>
    <row r="47" spans="1:15" ht="26.25" thickBot="1">
      <c r="A47" s="110" t="s">
        <v>64</v>
      </c>
      <c r="B47" s="111">
        <v>1990</v>
      </c>
      <c r="C47" s="112"/>
      <c r="D47" s="10"/>
      <c r="E47" s="113"/>
      <c r="F47" s="114"/>
      <c r="G47" s="115"/>
      <c r="H47" s="57"/>
      <c r="I47" s="27"/>
    </row>
    <row r="48" spans="1:15" ht="15.75" thickBot="1">
      <c r="A48" s="59"/>
      <c r="B48" s="60"/>
      <c r="C48" s="61" t="s">
        <v>38</v>
      </c>
      <c r="D48" s="10"/>
      <c r="E48" s="113"/>
      <c r="F48" s="114"/>
      <c r="G48" s="115"/>
      <c r="H48" s="69"/>
    </row>
    <row r="49" spans="1:8" ht="15.75" customHeight="1" thickBot="1">
      <c r="A49" s="59"/>
      <c r="B49" s="62">
        <f>B47*(C3-1)</f>
        <v>9950</v>
      </c>
      <c r="C49" s="62">
        <f>SUM(B6,B15,B20,B25,B42,B45)</f>
        <v>8482.6671083054061</v>
      </c>
      <c r="D49" s="66"/>
      <c r="E49" s="67"/>
      <c r="F49" s="67"/>
      <c r="G49" s="68"/>
      <c r="H49" s="70">
        <f>SUM(H43:H48)</f>
        <v>1330</v>
      </c>
    </row>
    <row r="50" spans="1:8">
      <c r="E50" s="65"/>
      <c r="F50" s="65"/>
      <c r="G50" s="65"/>
      <c r="H50" s="65"/>
    </row>
    <row r="51" spans="1:8">
      <c r="E51" s="65"/>
      <c r="F51" s="65"/>
      <c r="G51" s="65"/>
      <c r="H51" s="65"/>
    </row>
  </sheetData>
  <mergeCells count="22">
    <mergeCell ref="E47:G47"/>
    <mergeCell ref="E48:G48"/>
    <mergeCell ref="C4:F4"/>
    <mergeCell ref="E43:G43"/>
    <mergeCell ref="E44:G44"/>
    <mergeCell ref="E45:G45"/>
    <mergeCell ref="E46:G46"/>
    <mergeCell ref="B46:C46"/>
    <mergeCell ref="B47:C47"/>
    <mergeCell ref="A5:B5"/>
    <mergeCell ref="G16:H16"/>
    <mergeCell ref="G17:H17"/>
    <mergeCell ref="A1:I2"/>
    <mergeCell ref="H8:I8"/>
    <mergeCell ref="H30:I30"/>
    <mergeCell ref="E42:H42"/>
    <mergeCell ref="G18:H18"/>
    <mergeCell ref="G15:H15"/>
    <mergeCell ref="H10:I10"/>
    <mergeCell ref="G3:H3"/>
    <mergeCell ref="C3:F3"/>
    <mergeCell ref="H23:I23"/>
  </mergeCells>
  <pageMargins left="0.94488188976377996" right="0.118110236220472" top="0.66" bottom="0.196850393700787" header="0.15748031496063" footer="0.196850393700787"/>
  <pageSetup paperSize="9" scale="9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O49"/>
  <sheetViews>
    <sheetView topLeftCell="A10" workbookViewId="0">
      <selection activeCell="C32" sqref="C32"/>
    </sheetView>
  </sheetViews>
  <sheetFormatPr baseColWidth="10" defaultColWidth="9" defaultRowHeight="12.75"/>
  <cols>
    <col min="1" max="1" width="88.42578125" style="63" bestFit="1" customWidth="1"/>
    <col min="2" max="2" width="14" style="64" customWidth="1"/>
    <col min="3" max="3" width="14.7109375" style="27" bestFit="1" customWidth="1"/>
    <col min="4" max="5" width="13.42578125" style="27" customWidth="1"/>
    <col min="6" max="6" width="10.5703125" style="27" customWidth="1"/>
    <col min="7" max="7" width="12.7109375" style="27" bestFit="1" customWidth="1"/>
    <col min="8" max="8" width="10.5703125" style="27" bestFit="1" customWidth="1"/>
    <col min="9" max="9" width="27.85546875" style="49" customWidth="1"/>
    <col min="10" max="10" width="10" style="27" bestFit="1" customWidth="1"/>
    <col min="11" max="11" width="11.28515625" style="27" customWidth="1"/>
    <col min="12" max="12" width="12.7109375" style="27" bestFit="1" customWidth="1"/>
    <col min="13" max="13" width="10.140625" style="27" bestFit="1" customWidth="1"/>
    <col min="14" max="14" width="12.7109375" style="27" bestFit="1" customWidth="1"/>
    <col min="15" max="256" width="11.42578125" style="27" customWidth="1"/>
    <col min="257" max="16384" width="9" style="27"/>
  </cols>
  <sheetData>
    <row r="1" spans="1:14">
      <c r="A1" s="105" t="s">
        <v>58</v>
      </c>
      <c r="B1" s="105"/>
      <c r="C1" s="105"/>
      <c r="D1" s="105"/>
      <c r="E1" s="105"/>
      <c r="F1" s="105"/>
      <c r="G1" s="105"/>
      <c r="H1" s="105"/>
      <c r="I1" s="106"/>
    </row>
    <row r="2" spans="1:14" ht="13.5" thickBot="1">
      <c r="A2" s="105"/>
      <c r="B2" s="105"/>
      <c r="C2" s="105"/>
      <c r="D2" s="105"/>
      <c r="E2" s="105"/>
      <c r="F2" s="105"/>
      <c r="G2" s="107"/>
      <c r="H2" s="107"/>
      <c r="I2" s="106"/>
    </row>
    <row r="3" spans="1:14" ht="15" customHeight="1">
      <c r="A3" s="28"/>
      <c r="B3" s="18" t="s">
        <v>51</v>
      </c>
      <c r="C3" s="91">
        <v>2</v>
      </c>
      <c r="D3" s="92"/>
      <c r="E3" s="92"/>
      <c r="F3" s="92"/>
      <c r="G3" s="89" t="s">
        <v>1</v>
      </c>
      <c r="H3" s="90"/>
      <c r="I3" s="27"/>
    </row>
    <row r="4" spans="1:14" ht="15" customHeight="1">
      <c r="A4" s="28"/>
      <c r="B4" s="18">
        <v>2</v>
      </c>
      <c r="C4" s="94" t="s">
        <v>46</v>
      </c>
      <c r="D4" s="95"/>
      <c r="E4" s="95"/>
      <c r="F4" s="95"/>
      <c r="G4" s="29" t="s">
        <v>48</v>
      </c>
      <c r="H4" s="30">
        <v>1750</v>
      </c>
      <c r="I4" s="27"/>
    </row>
    <row r="5" spans="1:14" ht="14.25">
      <c r="A5" s="100" t="s">
        <v>4</v>
      </c>
      <c r="B5" s="101"/>
      <c r="C5" s="14" t="s">
        <v>2</v>
      </c>
      <c r="D5" s="14" t="s">
        <v>3</v>
      </c>
      <c r="E5" s="14" t="s">
        <v>53</v>
      </c>
      <c r="F5" s="17" t="s">
        <v>54</v>
      </c>
      <c r="G5" s="19" t="s">
        <v>49</v>
      </c>
      <c r="H5" s="24">
        <v>47</v>
      </c>
      <c r="I5" s="27"/>
    </row>
    <row r="6" spans="1:14" s="1" customFormat="1" ht="15.75" thickBot="1">
      <c r="A6" s="5" t="s">
        <v>6</v>
      </c>
      <c r="B6" s="15">
        <f>SUM(B7:B13)</f>
        <v>593.48530901722393</v>
      </c>
      <c r="C6" s="8"/>
      <c r="D6" s="10"/>
      <c r="E6" s="10"/>
      <c r="F6" s="71"/>
      <c r="G6" s="31" t="s">
        <v>50</v>
      </c>
      <c r="H6" s="20">
        <v>1.17</v>
      </c>
      <c r="I6" s="27"/>
      <c r="J6" s="27"/>
      <c r="K6" s="27"/>
      <c r="L6" s="27"/>
      <c r="M6" s="27"/>
      <c r="N6" s="27"/>
    </row>
    <row r="7" spans="1:14" s="34" customFormat="1" ht="15">
      <c r="A7" s="7" t="s">
        <v>7</v>
      </c>
      <c r="B7" s="32">
        <f>(35000*2)/H4</f>
        <v>40</v>
      </c>
      <c r="C7" s="8"/>
      <c r="D7" s="10"/>
      <c r="E7" s="10"/>
      <c r="F7" s="72"/>
      <c r="G7" s="27"/>
      <c r="H7" s="27"/>
      <c r="I7" s="33"/>
      <c r="J7" s="33"/>
      <c r="K7" s="33"/>
      <c r="L7" s="27"/>
      <c r="M7" s="27"/>
      <c r="N7" s="27"/>
    </row>
    <row r="8" spans="1:14" s="2" customFormat="1" ht="15">
      <c r="A8" s="7" t="s">
        <v>9</v>
      </c>
      <c r="B8" s="35">
        <f>230</f>
        <v>230</v>
      </c>
      <c r="C8" s="8"/>
      <c r="D8" s="10"/>
      <c r="E8" s="36">
        <f>201</f>
        <v>201</v>
      </c>
      <c r="F8" s="72"/>
      <c r="G8" s="27"/>
      <c r="H8" s="27"/>
    </row>
    <row r="9" spans="1:14" s="33" customFormat="1" ht="15">
      <c r="A9" s="7" t="s">
        <v>12</v>
      </c>
      <c r="B9" s="40">
        <f>D9/H5</f>
        <v>28.723404255319149</v>
      </c>
      <c r="C9" s="8"/>
      <c r="D9" s="41">
        <f>(15*90)</f>
        <v>1350</v>
      </c>
      <c r="E9" s="10"/>
      <c r="F9" s="72"/>
      <c r="G9" s="27"/>
      <c r="H9" s="27"/>
    </row>
    <row r="10" spans="1:14" s="33" customFormat="1" ht="15">
      <c r="A10" s="4" t="s">
        <v>13</v>
      </c>
      <c r="B10" s="32">
        <f>(550/6)*2</f>
        <v>183.33333333333334</v>
      </c>
      <c r="C10" s="8"/>
      <c r="D10" s="10"/>
      <c r="E10" s="10"/>
      <c r="F10" s="72"/>
      <c r="G10" s="27"/>
      <c r="H10" s="27"/>
    </row>
    <row r="11" spans="1:14" s="34" customFormat="1" ht="15">
      <c r="A11" s="7" t="s">
        <v>16</v>
      </c>
      <c r="B11" s="32">
        <v>50</v>
      </c>
      <c r="C11" s="8"/>
      <c r="D11" s="41">
        <f>B11*H5</f>
        <v>2350</v>
      </c>
      <c r="E11" s="10"/>
      <c r="F11" s="72"/>
      <c r="G11" s="27"/>
      <c r="H11" s="27"/>
    </row>
    <row r="12" spans="1:14" s="34" customFormat="1" ht="15">
      <c r="A12" s="7" t="s">
        <v>17</v>
      </c>
      <c r="B12" s="32">
        <v>50</v>
      </c>
      <c r="C12" s="42">
        <f>150*H4</f>
        <v>262500</v>
      </c>
      <c r="D12" s="41">
        <f>50*H5</f>
        <v>2350</v>
      </c>
      <c r="E12" s="10"/>
      <c r="F12" s="72"/>
      <c r="G12" s="27"/>
      <c r="H12" s="27"/>
    </row>
    <row r="13" spans="1:14" s="2" customFormat="1" ht="15">
      <c r="A13" s="7" t="s">
        <v>18</v>
      </c>
      <c r="B13" s="32">
        <f>C13/H4</f>
        <v>11.428571428571429</v>
      </c>
      <c r="C13" s="42">
        <v>20000</v>
      </c>
      <c r="D13" s="10"/>
      <c r="E13" s="10"/>
      <c r="F13" s="72"/>
      <c r="G13" s="27"/>
      <c r="H13" s="27"/>
    </row>
    <row r="14" spans="1:14" ht="15">
      <c r="A14" s="74"/>
      <c r="B14" s="43"/>
      <c r="C14" s="10"/>
      <c r="D14" s="10"/>
      <c r="E14" s="10"/>
      <c r="F14" s="72"/>
      <c r="I14" s="27"/>
    </row>
    <row r="15" spans="1:14" ht="15">
      <c r="A15" s="75" t="s">
        <v>19</v>
      </c>
      <c r="B15" s="15">
        <f>SUM(B16:B18)</f>
        <v>748</v>
      </c>
      <c r="C15" s="9"/>
      <c r="D15" s="44"/>
      <c r="E15" s="10"/>
      <c r="F15" s="72"/>
      <c r="I15" s="27"/>
    </row>
    <row r="16" spans="1:14" s="34" customFormat="1" ht="15">
      <c r="A16" s="45" t="s">
        <v>20</v>
      </c>
      <c r="B16" s="32">
        <f>(C16/H4)+(D16/H5)</f>
        <v>168</v>
      </c>
      <c r="C16" s="42">
        <f>((6*8)*H4)*C3</f>
        <v>168000</v>
      </c>
      <c r="D16" s="41">
        <f>((6*6)*H5)*C3</f>
        <v>3384</v>
      </c>
      <c r="E16" s="10"/>
      <c r="F16" s="72"/>
    </row>
    <row r="17" spans="1:9" s="2" customFormat="1" ht="15">
      <c r="A17" s="45" t="s">
        <v>21</v>
      </c>
      <c r="B17" s="32">
        <f>(C17/H4)+(D17/H5)</f>
        <v>420</v>
      </c>
      <c r="C17" s="42">
        <f>((15*8)*H4)*C3</f>
        <v>420000</v>
      </c>
      <c r="D17" s="42">
        <f>((15*6)*H5)*C3</f>
        <v>8460</v>
      </c>
      <c r="E17" s="10"/>
      <c r="F17" s="72"/>
    </row>
    <row r="18" spans="1:9" s="34" customFormat="1" ht="15">
      <c r="A18" s="45" t="s">
        <v>59</v>
      </c>
      <c r="B18" s="32">
        <f>(40*2)*C3</f>
        <v>160</v>
      </c>
      <c r="C18" s="42">
        <f>B18*H4</f>
        <v>280000</v>
      </c>
      <c r="D18" s="10"/>
      <c r="E18" s="10"/>
      <c r="F18" s="72"/>
    </row>
    <row r="19" spans="1:9" ht="15">
      <c r="A19" s="76"/>
      <c r="B19" s="46"/>
      <c r="C19" s="10"/>
      <c r="D19" s="10"/>
      <c r="E19" s="10"/>
      <c r="F19" s="72"/>
      <c r="I19" s="27"/>
    </row>
    <row r="20" spans="1:9" ht="15">
      <c r="A20" s="75" t="s">
        <v>22</v>
      </c>
      <c r="B20" s="15">
        <v>750</v>
      </c>
      <c r="C20" s="10"/>
      <c r="D20" s="10"/>
      <c r="E20" s="10"/>
      <c r="F20" s="72"/>
      <c r="I20" s="27"/>
    </row>
    <row r="21" spans="1:9" s="34" customFormat="1" ht="15">
      <c r="A21" s="47" t="s">
        <v>23</v>
      </c>
      <c r="B21" s="35">
        <f>(E21/H6)+90</f>
        <v>1066.7179487179487</v>
      </c>
      <c r="C21" s="10"/>
      <c r="D21" s="10"/>
      <c r="E21" s="36">
        <f>551.46+591.3</f>
        <v>1142.76</v>
      </c>
      <c r="F21" s="72"/>
    </row>
    <row r="22" spans="1:9" s="34" customFormat="1" ht="15">
      <c r="A22" s="47" t="s">
        <v>24</v>
      </c>
      <c r="B22" s="32">
        <f>E22/H6</f>
        <v>542.30769230769238</v>
      </c>
      <c r="C22" s="10"/>
      <c r="D22" s="10"/>
      <c r="E22" s="36">
        <v>634.5</v>
      </c>
      <c r="F22" s="72"/>
    </row>
    <row r="23" spans="1:9" s="2" customFormat="1" ht="15">
      <c r="A23" s="47" t="s">
        <v>25</v>
      </c>
      <c r="B23" s="40">
        <v>286.95999999999998</v>
      </c>
      <c r="C23" s="10"/>
      <c r="D23" s="10"/>
      <c r="E23" s="10"/>
      <c r="F23" s="72"/>
    </row>
    <row r="24" spans="1:9" s="33" customFormat="1" ht="15">
      <c r="A24" s="77"/>
      <c r="B24" s="48"/>
      <c r="C24" s="9"/>
      <c r="D24" s="44"/>
      <c r="E24" s="10"/>
      <c r="F24" s="72"/>
    </row>
    <row r="25" spans="1:9" ht="15">
      <c r="A25" s="75" t="s">
        <v>26</v>
      </c>
      <c r="B25" s="15">
        <f>SUM(B26:B40)</f>
        <v>575.99018003273329</v>
      </c>
      <c r="C25" s="9"/>
      <c r="D25" s="9"/>
      <c r="E25" s="10"/>
      <c r="F25" s="72"/>
      <c r="I25" s="27"/>
    </row>
    <row r="26" spans="1:9" ht="15">
      <c r="A26" s="4" t="s">
        <v>40</v>
      </c>
      <c r="B26" s="32">
        <f>(5)*(C3)</f>
        <v>10</v>
      </c>
      <c r="C26" s="42">
        <f>B26*H4</f>
        <v>17500</v>
      </c>
      <c r="D26" s="10"/>
      <c r="E26" s="10"/>
      <c r="F26" s="72"/>
      <c r="I26" s="27"/>
    </row>
    <row r="27" spans="1:9" ht="15">
      <c r="A27" s="4" t="s">
        <v>27</v>
      </c>
      <c r="B27" s="32">
        <v>0</v>
      </c>
      <c r="C27" s="10"/>
      <c r="D27" s="10"/>
      <c r="E27" s="10"/>
      <c r="F27" s="72"/>
      <c r="I27" s="27"/>
    </row>
    <row r="28" spans="1:9" ht="15">
      <c r="A28" s="4" t="s">
        <v>28</v>
      </c>
      <c r="B28" s="32">
        <f>(C28/$H$4)*($C$3)</f>
        <v>5.7142857142857144</v>
      </c>
      <c r="C28" s="42">
        <v>5000</v>
      </c>
      <c r="D28" s="10"/>
      <c r="E28" s="10"/>
      <c r="F28" s="72"/>
      <c r="I28" s="27"/>
    </row>
    <row r="29" spans="1:9" ht="15">
      <c r="A29" s="4" t="s">
        <v>29</v>
      </c>
      <c r="B29" s="32">
        <f>(C29/$H$4)*($C$3)</f>
        <v>26.285714285714285</v>
      </c>
      <c r="C29" s="42">
        <v>23000</v>
      </c>
      <c r="D29" s="10"/>
      <c r="E29" s="10"/>
      <c r="F29" s="72"/>
      <c r="I29" s="27"/>
    </row>
    <row r="30" spans="1:9" ht="15">
      <c r="A30" s="4" t="s">
        <v>61</v>
      </c>
      <c r="B30" s="32">
        <f>(90/1.17)*C3</f>
        <v>153.84615384615387</v>
      </c>
      <c r="C30" s="10"/>
      <c r="D30" s="10"/>
      <c r="E30" s="10"/>
      <c r="F30" s="72"/>
      <c r="I30" s="27"/>
    </row>
    <row r="31" spans="1:9" ht="15">
      <c r="A31" s="4" t="s">
        <v>39</v>
      </c>
      <c r="B31" s="32">
        <f>C31/H4</f>
        <v>2.2857142857142856</v>
      </c>
      <c r="C31" s="42">
        <f>(1000*2)*C3</f>
        <v>4000</v>
      </c>
      <c r="D31" s="10"/>
      <c r="E31" s="10"/>
      <c r="F31" s="72"/>
      <c r="G31" s="49"/>
      <c r="I31" s="27"/>
    </row>
    <row r="32" spans="1:9" ht="15">
      <c r="A32" s="4" t="s">
        <v>55</v>
      </c>
      <c r="B32" s="40">
        <f>C32/H4</f>
        <v>85.714285714285708</v>
      </c>
      <c r="C32" s="42">
        <v>150000</v>
      </c>
      <c r="D32" s="10"/>
      <c r="E32" s="10"/>
      <c r="F32" s="73">
        <v>100</v>
      </c>
      <c r="G32" s="49"/>
      <c r="I32" s="27"/>
    </row>
    <row r="33" spans="1:15" ht="15">
      <c r="A33" s="4" t="s">
        <v>41</v>
      </c>
      <c r="B33" s="40">
        <f>D33/H5</f>
        <v>106.38297872340425</v>
      </c>
      <c r="C33" s="10"/>
      <c r="D33" s="41">
        <v>5000</v>
      </c>
      <c r="E33" s="10"/>
      <c r="F33" s="72"/>
      <c r="G33" s="49"/>
      <c r="I33" s="27"/>
    </row>
    <row r="34" spans="1:15" s="34" customFormat="1" ht="15">
      <c r="A34" s="7" t="s">
        <v>30</v>
      </c>
      <c r="B34" s="32">
        <v>0</v>
      </c>
      <c r="C34" s="10"/>
      <c r="D34" s="10"/>
      <c r="E34" s="10"/>
      <c r="F34" s="72"/>
      <c r="G34" s="49"/>
      <c r="H34" s="27"/>
      <c r="I34" s="27"/>
      <c r="J34" s="27"/>
      <c r="K34" s="27"/>
      <c r="L34" s="27"/>
      <c r="M34" s="27"/>
      <c r="N34" s="27"/>
      <c r="O34" s="27"/>
    </row>
    <row r="35" spans="1:15" s="34" customFormat="1" ht="15">
      <c r="A35" s="7" t="s">
        <v>31</v>
      </c>
      <c r="B35" s="32">
        <f>(D35/H5)</f>
        <v>31.914893617021278</v>
      </c>
      <c r="C35" s="10"/>
      <c r="D35" s="41">
        <f>750*C3</f>
        <v>1500</v>
      </c>
      <c r="E35" s="10"/>
      <c r="F35" s="72"/>
      <c r="G35" s="49"/>
      <c r="H35" s="27"/>
      <c r="I35" s="27"/>
      <c r="J35" s="27"/>
      <c r="K35" s="27"/>
      <c r="L35" s="27"/>
      <c r="M35" s="27"/>
      <c r="N35" s="27"/>
      <c r="O35" s="27"/>
    </row>
    <row r="36" spans="1:15" s="33" customFormat="1" ht="15">
      <c r="A36" s="7" t="s">
        <v>32</v>
      </c>
      <c r="B36" s="32">
        <v>0</v>
      </c>
      <c r="C36" s="10"/>
      <c r="D36" s="10"/>
      <c r="E36" s="10"/>
      <c r="F36" s="72"/>
      <c r="G36" s="49"/>
      <c r="H36" s="27"/>
      <c r="I36" s="27"/>
      <c r="J36" s="27"/>
      <c r="K36" s="27"/>
      <c r="L36" s="27"/>
      <c r="M36" s="27"/>
      <c r="N36" s="27"/>
      <c r="O36" s="27"/>
    </row>
    <row r="37" spans="1:15" ht="15">
      <c r="A37" s="7" t="s">
        <v>33</v>
      </c>
      <c r="B37" s="32">
        <v>0</v>
      </c>
      <c r="C37" s="10"/>
      <c r="D37" s="10"/>
      <c r="E37" s="10"/>
      <c r="F37" s="72"/>
      <c r="G37" s="49"/>
      <c r="I37" s="27"/>
    </row>
    <row r="38" spans="1:15" s="33" customFormat="1" ht="15">
      <c r="A38" s="7" t="s">
        <v>43</v>
      </c>
      <c r="B38" s="32">
        <f>E38/H6</f>
        <v>85.470085470085479</v>
      </c>
      <c r="C38" s="10"/>
      <c r="D38" s="10"/>
      <c r="E38" s="36">
        <f>50*C3</f>
        <v>100</v>
      </c>
      <c r="F38" s="72"/>
      <c r="G38" s="49"/>
      <c r="H38" s="27"/>
      <c r="I38" s="27"/>
      <c r="J38" s="27"/>
      <c r="K38" s="27"/>
      <c r="L38" s="27"/>
    </row>
    <row r="39" spans="1:15" s="33" customFormat="1" ht="15">
      <c r="A39" s="7" t="s">
        <v>44</v>
      </c>
      <c r="B39" s="32">
        <f>E39/H6</f>
        <v>68.376068376068375</v>
      </c>
      <c r="C39" s="10"/>
      <c r="D39" s="10"/>
      <c r="E39" s="36">
        <f>40*C3</f>
        <v>80</v>
      </c>
      <c r="F39" s="72"/>
      <c r="G39" s="49"/>
      <c r="H39" s="27"/>
      <c r="I39" s="27"/>
      <c r="J39" s="27"/>
      <c r="K39" s="27"/>
      <c r="L39" s="27"/>
    </row>
    <row r="40" spans="1:15" s="33" customFormat="1" ht="15.75" thickBot="1">
      <c r="A40" s="25"/>
      <c r="B40" s="32"/>
      <c r="C40" s="10"/>
      <c r="D40" s="10"/>
      <c r="E40" s="10"/>
      <c r="F40" s="72"/>
      <c r="G40" s="27"/>
      <c r="H40" s="27"/>
      <c r="I40" s="27"/>
      <c r="J40" s="27"/>
    </row>
    <row r="41" spans="1:15" s="33" customFormat="1" ht="15.75" thickBot="1">
      <c r="A41" s="50"/>
      <c r="B41" s="51"/>
      <c r="C41" s="52">
        <f>SUM(C6:C40)</f>
        <v>1350000</v>
      </c>
      <c r="D41" s="53">
        <f>SUM(D6:D40)</f>
        <v>24394</v>
      </c>
      <c r="E41" s="54">
        <f>SUM(E6:E40)</f>
        <v>2158.2600000000002</v>
      </c>
      <c r="F41" s="55">
        <f>SUM(F6:F40)</f>
        <v>100</v>
      </c>
      <c r="G41" s="27"/>
      <c r="H41" s="27"/>
      <c r="I41" s="27"/>
      <c r="J41" s="27"/>
    </row>
    <row r="42" spans="1:15" ht="15.75" thickBot="1">
      <c r="A42" s="56" t="s">
        <v>34</v>
      </c>
      <c r="B42" s="21">
        <f>SUM(B43:B44)</f>
        <v>20</v>
      </c>
      <c r="C42" s="22">
        <f>C41/H4</f>
        <v>771.42857142857144</v>
      </c>
      <c r="D42" s="23">
        <f>D41/H5</f>
        <v>519.02127659574467</v>
      </c>
      <c r="I42" s="27"/>
    </row>
    <row r="43" spans="1:15" s="33" customFormat="1" ht="14.25" customHeight="1">
      <c r="A43" s="3" t="s">
        <v>35</v>
      </c>
      <c r="B43" s="32">
        <f>20</f>
        <v>20</v>
      </c>
      <c r="C43" s="108"/>
      <c r="D43" s="27"/>
      <c r="E43" s="27"/>
      <c r="F43" s="27"/>
      <c r="G43" s="27"/>
    </row>
    <row r="44" spans="1:15" ht="15">
      <c r="A44" s="3"/>
      <c r="B44" s="58"/>
      <c r="C44" s="109"/>
      <c r="I44" s="27"/>
    </row>
    <row r="45" spans="1:15" ht="15.75" thickBot="1">
      <c r="A45" s="79" t="s">
        <v>63</v>
      </c>
      <c r="B45" s="16">
        <f>247*C3</f>
        <v>494</v>
      </c>
      <c r="C45" s="11"/>
      <c r="I45" s="27"/>
    </row>
    <row r="46" spans="1:15" ht="13.5" thickBot="1">
      <c r="A46" s="12" t="s">
        <v>38</v>
      </c>
      <c r="B46" s="98">
        <f>SUM(B6,B15,B20,B25,B42,B45)</f>
        <v>3181.4754890499571</v>
      </c>
      <c r="C46" s="99"/>
      <c r="I46" s="27"/>
    </row>
    <row r="47" spans="1:15" ht="26.25" thickBot="1">
      <c r="A47" s="110" t="s">
        <v>65</v>
      </c>
      <c r="B47" s="111">
        <f>B46/C3</f>
        <v>1590.7377445249786</v>
      </c>
      <c r="C47" s="112"/>
      <c r="I47" s="27"/>
    </row>
    <row r="48" spans="1:15">
      <c r="A48" s="59"/>
      <c r="B48" s="27"/>
      <c r="C48" s="65"/>
      <c r="D48" s="65"/>
      <c r="E48" s="65"/>
      <c r="F48" s="65"/>
      <c r="G48" s="49"/>
      <c r="I48" s="27"/>
    </row>
    <row r="49" spans="1:9" ht="15.75" customHeight="1">
      <c r="A49" s="59"/>
      <c r="B49" s="27"/>
      <c r="C49" s="65"/>
      <c r="D49" s="65"/>
      <c r="E49" s="65"/>
      <c r="F49" s="65"/>
      <c r="G49" s="49"/>
      <c r="I49" s="27"/>
    </row>
  </sheetData>
  <mergeCells count="7">
    <mergeCell ref="B47:C47"/>
    <mergeCell ref="B46:C46"/>
    <mergeCell ref="A1:I2"/>
    <mergeCell ref="C3:F3"/>
    <mergeCell ref="G3:H3"/>
    <mergeCell ref="C4:F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Récapitulatif</vt:lpstr>
      <vt:lpstr>Avec accompagnateur</vt:lpstr>
      <vt:lpstr>Sans accompagnateur</vt:lpstr>
      <vt:lpstr>'Avec accompagnateur'!Zone_d_impression</vt:lpstr>
    </vt:vector>
  </TitlesOfParts>
  <Manager/>
  <Company>TOTAL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fr14440</dc:creator>
  <cp:keywords/>
  <dc:description/>
  <cp:lastModifiedBy>Patrick</cp:lastModifiedBy>
  <cp:revision/>
  <dcterms:created xsi:type="dcterms:W3CDTF">2005-01-18T07:27:00Z</dcterms:created>
  <dcterms:modified xsi:type="dcterms:W3CDTF">2026-05-01T16:05:55Z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C896A3C7E35D45449B009768F92B18CB_13</vt:lpwstr>
  </property>
  <property fmtid="{D5CDD505-2E9C-101B-9397-08002B2CF9AE}" pid="3" name="KSOProductBuildVer">
    <vt:lpwstr>1036-12.2.0.17562</vt:lpwstr>
  </property>
</Properties>
</file>